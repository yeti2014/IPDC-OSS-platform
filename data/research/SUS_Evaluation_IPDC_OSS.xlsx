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1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</borders>
  <cellStyleXfs count="1">
    <xf numFmtId="0" fontId="1" fillId="0" borderId="3"/>
  </cellStyleXfs>
  <cellXfs count="9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Results'!$B$3:$B$11</f>
              <strCache>
                <ptCount val="9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</strCache>
            </strRef>
          </cat>
          <val>
            <numRef>
              <f>'Summary &amp; Results'!$E$3:$E$11</f>
              <numCache>
                <formatCode>0.0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1.6328125" customWidth="1" style="54" min="1" max="1"/>
    <col width="32" customWidth="1" style="54" min="2" max="2"/>
    <col width="43" customWidth="1" style="54" min="3" max="5"/>
    <col width="24" customWidth="1" style="54" min="6" max="6"/>
    <col width="24.26953125" customWidth="1" style="54" min="7" max="7"/>
    <col width="23.453125" customWidth="1" style="54" min="8" max="8"/>
    <col width="53.7265625" customWidth="1" style="54" min="9" max="9"/>
    <col width="52.90625" customWidth="1" style="54" min="10" max="10"/>
    <col width="43" customWidth="1" style="54" min="11" max="16"/>
    <col width="59.54296875" customWidth="1" style="54" min="17" max="17"/>
    <col width="43" customWidth="1" style="54" min="18" max="18"/>
    <col width="71.81640625" customWidth="1" style="54" min="19" max="19"/>
    <col width="43" customWidth="1" style="54" min="20" max="21"/>
    <col width="57.1796875" customWidth="1" style="54" min="22" max="22"/>
    <col width="49.453125" customWidth="1" style="54" min="23" max="23"/>
    <col width="43" customWidth="1" style="54" min="24" max="24"/>
    <col width="110.26953125" customWidth="1" style="54" min="25" max="25"/>
    <col width="86.1796875" customWidth="1" style="54" min="26" max="26"/>
    <col width="59.90625" customWidth="1" style="54" min="27" max="27"/>
    <col width="65.6328125" customWidth="1" style="54" min="28" max="28"/>
    <col width="21.54296875" customWidth="1" style="54" min="29" max="34"/>
  </cols>
  <sheetData>
    <row r="1" ht="22.5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22.5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22.5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22.5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22.5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22.5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22.5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22.5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22.5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22.5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22.5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22.5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22.5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" customWidth="1" style="54" min="1" max="1"/>
    <col width="28" customWidth="1" style="54" min="2" max="2"/>
    <col width="70" customWidth="1" style="54" min="3" max="3"/>
    <col width="20" customWidth="1" style="54" min="4" max="4"/>
    <col width="8.7265625" customWidth="1" style="54" min="5" max="26"/>
  </cols>
  <sheetData>
    <row r="1" ht="36" customHeight="1" s="54">
      <c r="A1" s="72" t="inlineStr">
        <is>
          <t>IPDC-OSS Platform — System Usability Scale (SUS) Evaluation Workbook</t>
        </is>
      </c>
    </row>
    <row r="2" ht="24" customHeight="1" s="54">
      <c r="A2" s="73" t="inlineStr">
        <is>
          <t>Usability Evaluation — 10 February 2026 | 9 Participants | Chapter 5</t>
        </is>
      </c>
    </row>
    <row r="4" ht="14.5" customHeight="1" s="54">
      <c r="A4" s="74" t="inlineStr">
        <is>
          <t>PURPOSE</t>
        </is>
      </c>
    </row>
    <row r="5" ht="48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7" ht="14.5" customHeight="1" s="54">
      <c r="A7" s="74" t="inlineStr">
        <is>
          <t>WORKBOOK STRUCTURE</t>
        </is>
      </c>
    </row>
    <row r="8" ht="18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18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18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18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18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18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5" ht="14.5" customHeight="1" s="54">
      <c r="A15" s="74" t="inlineStr">
        <is>
          <t>SUS SCORING FORMULA</t>
        </is>
      </c>
    </row>
    <row r="16" ht="18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1" ht="15.75" customHeight="1" s="54">
      <c r="A21" s="74" t="inlineStr">
        <is>
          <t>SUS SCORE INTERPRETATION (Bangor et al. / Sauro)</t>
        </is>
      </c>
    </row>
    <row r="22" ht="15.75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5.75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5.75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5.75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5.75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5.75" customHeight="1" s="54"/>
    <row r="28" ht="15.75" customHeight="1" s="54">
      <c r="A28" s="74" t="inlineStr">
        <is>
          <t>TASK SCENARIOS ADMINISTERED TO PARTICIPANTS</t>
        </is>
      </c>
    </row>
    <row r="29" ht="30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30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30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30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30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5.75" customHeight="1" s="54"/>
    <row r="46" ht="36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6" customWidth="1" style="54" min="1" max="1"/>
    <col width="8" customWidth="1" style="54" min="2" max="2"/>
    <col width="28" customWidth="1" style="54" min="3" max="3"/>
    <col width="22" customWidth="1" style="54" min="4" max="4"/>
    <col width="20" customWidth="1" style="54" min="5" max="5"/>
    <col width="16" customWidth="1" style="54" min="6" max="6"/>
    <col width="20" customWidth="1" style="54" min="7" max="8"/>
    <col width="8.7265625" customWidth="1" style="54" min="9" max="26"/>
  </cols>
  <sheetData>
    <row r="1" ht="31.5" customHeight="1" s="54">
      <c r="A1" s="81" t="inlineStr">
        <is>
          <t>Usability Evaluation — Participant Profiles (10 February 2026)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>
      <c r="A12" s="23" t="n">
        <v>10</v>
      </c>
      <c r="B12" s="23" t="inlineStr">
        <is>
          <t>P10</t>
        </is>
      </c>
      <c r="C12" s="23" t="inlineStr">
        <is>
          <t>Operations Staff</t>
        </is>
      </c>
      <c r="D12" s="23" t="inlineStr">
        <is>
          <t>Headquarters</t>
        </is>
      </c>
      <c r="E12" s="23" t="inlineStr">
        <is>
          <t>Laptop (Chrome)</t>
        </is>
      </c>
      <c r="F12" s="23" t="inlineStr">
        <is>
          <t>18 Mar 2026</t>
        </is>
      </c>
      <c r="G12" s="23" t="inlineStr">
        <is>
          <t>—</t>
        </is>
      </c>
      <c r="H12" s="23" t="inlineStr">
        <is>
          <t>—</t>
        </is>
      </c>
    </row>
    <row r="13" ht="14.5" customHeight="1" s="54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>
      <c r="A14" s="23" t="n">
        <v>12</v>
      </c>
      <c r="B14" s="23" t="inlineStr">
        <is>
          <t>P12</t>
        </is>
      </c>
      <c r="C14" s="23" t="inlineStr">
        <is>
          <t>Tenant Representative</t>
        </is>
      </c>
      <c r="D14" s="23" t="inlineStr">
        <is>
          <t>Kilinto SEZ</t>
        </is>
      </c>
      <c r="E14" s="23" t="inlineStr">
        <is>
          <t>Smartphone (Chrome)</t>
        </is>
      </c>
      <c r="F14" s="23" t="inlineStr">
        <is>
          <t>22 Mar 2026</t>
        </is>
      </c>
      <c r="G14" s="23" t="inlineStr">
        <is>
          <t>Foreign-invested</t>
        </is>
      </c>
      <c r="H14" s="23" t="inlineStr">
        <is>
          <t>Pharmaceuticals</t>
        </is>
      </c>
    </row>
    <row r="15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2"/>
    <col width="26" customWidth="1" style="54" min="3" max="3"/>
    <col width="10" customWidth="1" style="54" min="4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6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15.75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9.5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9.5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9.5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9.5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9.5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9.5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9.5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9.5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9.5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>
      <c r="A14" s="23" t="n">
        <v>10</v>
      </c>
      <c r="B14" s="29" t="inlineStr">
        <is>
          <t>P10</t>
        </is>
      </c>
      <c r="C14" s="23" t="inlineStr">
        <is>
          <t>Operations Staff</t>
        </is>
      </c>
      <c r="D14" s="30" t="n">
        <v>5</v>
      </c>
      <c r="E14" s="30" t="n">
        <v>2</v>
      </c>
      <c r="F14" s="30" t="n">
        <v>5</v>
      </c>
      <c r="G14" s="30" t="n">
        <v>2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2</v>
      </c>
    </row>
    <row r="15" ht="30" customHeight="1" s="54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4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1</v>
      </c>
    </row>
    <row r="16">
      <c r="A16" s="23" t="n">
        <v>12</v>
      </c>
      <c r="B16" s="29" t="inlineStr">
        <is>
          <t>P12</t>
        </is>
      </c>
      <c r="C16" s="23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2</v>
      </c>
    </row>
    <row r="17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2"/>
    <col width="26" customWidth="1" style="54" min="3" max="3"/>
    <col width="11" customWidth="1" style="54" min="4" max="13"/>
    <col width="14" customWidth="1" style="54" min="14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19.5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19.5" customHeight="1" s="54">
      <c r="A5" s="24" t="n">
        <v>2</v>
      </c>
      <c r="B5" s="31" t="inlineStr">
        <is>
          <t>P2</t>
        </is>
      </c>
      <c r="C5" s="24" t="inlineStr">
        <is>
          <t>Tenant Representative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19.5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19.5" customHeight="1" s="54">
      <c r="A7" s="24" t="n">
        <v>4</v>
      </c>
      <c r="B7" s="31" t="inlineStr">
        <is>
          <t>P4</t>
        </is>
      </c>
      <c r="C7" s="24" t="inlineStr">
        <is>
          <t>Operations Staff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19.5" customHeight="1" s="54">
      <c r="A8" s="23" t="n">
        <v>5</v>
      </c>
      <c r="B8" s="29" t="inlineStr">
        <is>
          <t>P5</t>
        </is>
      </c>
      <c r="C8" s="23" t="inlineStr">
        <is>
          <t>IPDC Management Staff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19.5" customHeight="1" s="54">
      <c r="A9" s="24" t="n">
        <v>6</v>
      </c>
      <c r="B9" s="31" t="inlineStr">
        <is>
          <t>P6</t>
        </is>
      </c>
      <c r="C9" s="24" t="inlineStr">
        <is>
          <t>Operations Staff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19.5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19.5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19.5" customHeight="1" s="54">
      <c r="A12" s="23" t="n">
        <v>9</v>
      </c>
      <c r="B12" s="29" t="inlineStr">
        <is>
          <t>P9</t>
        </is>
      </c>
      <c r="C12" s="23" t="inlineStr">
        <is>
          <t>Tenant Representative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>
      <c r="A13" s="23" t="n">
        <v>10</v>
      </c>
      <c r="B13" s="29" t="inlineStr">
        <is>
          <t>P10</t>
        </is>
      </c>
      <c r="C13" s="23" t="inlineStr">
        <is>
          <t>Operations Staff</t>
        </is>
      </c>
      <c r="D13" s="30">
        <f>IF('SUS Raw Responses'!D14="","",'SUS Raw Responses'!D14-1)</f>
        <v/>
      </c>
      <c r="E13" s="37">
        <f>IF('SUS Raw Responses'!E14="","",5-'SUS Raw Responses'!E14)</f>
        <v/>
      </c>
      <c r="F13" s="30">
        <f>IF('SUS Raw Responses'!F14="","",'SUS Raw Responses'!F14-1)</f>
        <v/>
      </c>
      <c r="G13" s="37">
        <f>IF('SUS Raw Responses'!G14="","",5-'SUS Raw Responses'!G14)</f>
        <v/>
      </c>
      <c r="H13" s="30">
        <f>IF('SUS Raw Responses'!H14="","",'SUS Raw Responses'!H14-1)</f>
        <v/>
      </c>
      <c r="I13" s="37">
        <f>IF('SUS Raw Responses'!I14="","",5-'SUS Raw Responses'!I14)</f>
        <v/>
      </c>
      <c r="J13" s="30">
        <f>IF('SUS Raw Responses'!J14="","",'SUS Raw Responses'!J14-1)</f>
        <v/>
      </c>
      <c r="K13" s="37">
        <f>IF('SUS Raw Responses'!K14="","",5-'SUS Raw Responses'!K14)</f>
        <v/>
      </c>
      <c r="L13" s="30">
        <f>IF('SUS Raw Responses'!L14="","",'SUS Raw Responses'!L14-1)</f>
        <v/>
      </c>
      <c r="M13" s="37">
        <f>IF('SUS Raw Responses'!M14="","",5-'SUS Raw Responses'!M14)</f>
        <v/>
      </c>
      <c r="N13" s="38">
        <f>IF(COUNTA(D13,E13,F13,G13,H13,I13,J13,K13,L13,M13)=10,SUM(D13,E13,F13,G13,H13,I13,J13,K13,L13,M13),"")</f>
        <v/>
      </c>
      <c r="O13" s="39">
        <f>IF(N13="","",N13*2.5)</f>
        <v/>
      </c>
    </row>
    <row r="14" ht="24" customHeight="1" s="54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>
        <f>IF('SUS Raw Responses'!D15="","",'SUS Raw Responses'!D15-1)</f>
        <v/>
      </c>
      <c r="E14" s="37">
        <f>IF('SUS Raw Responses'!E15="","",5-'SUS Raw Responses'!E15)</f>
        <v/>
      </c>
      <c r="F14" s="30">
        <f>IF('SUS Raw Responses'!F15="","",'SUS Raw Responses'!F15-1)</f>
        <v/>
      </c>
      <c r="G14" s="37">
        <f>IF('SUS Raw Responses'!G15="","",5-'SUS Raw Responses'!G15)</f>
        <v/>
      </c>
      <c r="H14" s="30">
        <f>IF('SUS Raw Responses'!H15="","",'SUS Raw Responses'!H15-1)</f>
        <v/>
      </c>
      <c r="I14" s="37">
        <f>IF('SUS Raw Responses'!I15="","",5-'SUS Raw Responses'!I15)</f>
        <v/>
      </c>
      <c r="J14" s="30">
        <f>IF('SUS Raw Responses'!J15="","",'SUS Raw Responses'!J15-1)</f>
        <v/>
      </c>
      <c r="K14" s="37">
        <f>IF('SUS Raw Responses'!K15="","",5-'SUS Raw Responses'!K15)</f>
        <v/>
      </c>
      <c r="L14" s="30">
        <f>IF('SUS Raw Responses'!L15="","",'SUS Raw Responses'!L15-1)</f>
        <v/>
      </c>
      <c r="M14" s="37">
        <f>IF('SUS Raw Responses'!M15="","",5-'SUS Raw Responses'!M15)</f>
        <v/>
      </c>
      <c r="N14" s="38">
        <f>IF(COUNTA(D14,E14,F14,G14,H14,I14,J14,K14,L14,M14)=10,SUM(D14,E14,F14,G14,H14,I14,J14,K14,L14,M14),"")</f>
        <v/>
      </c>
      <c r="O14" s="39">
        <f>IF(N14="","",N14*2.5)</f>
        <v/>
      </c>
    </row>
    <row r="15">
      <c r="A15" s="23" t="n">
        <v>12</v>
      </c>
      <c r="B15" s="29" t="inlineStr">
        <is>
          <t>P12</t>
        </is>
      </c>
      <c r="C15" s="23" t="inlineStr">
        <is>
          <t>Tenant Representative</t>
        </is>
      </c>
      <c r="D15" s="30">
        <f>IF('SUS Raw Responses'!D16="","",'SUS Raw Responses'!D16-1)</f>
        <v/>
      </c>
      <c r="E15" s="37">
        <f>IF('SUS Raw Responses'!E16="","",5-'SUS Raw Responses'!E16)</f>
        <v/>
      </c>
      <c r="F15" s="30">
        <f>IF('SUS Raw Responses'!F16="","",'SUS Raw Responses'!F16-1)</f>
        <v/>
      </c>
      <c r="G15" s="37">
        <f>IF('SUS Raw Responses'!G16="","",5-'SUS Raw Responses'!G16)</f>
        <v/>
      </c>
      <c r="H15" s="30">
        <f>IF('SUS Raw Responses'!H16="","",'SUS Raw Responses'!H16-1)</f>
        <v/>
      </c>
      <c r="I15" s="37">
        <f>IF('SUS Raw Responses'!I16="","",5-'SUS Raw Responses'!I16)</f>
        <v/>
      </c>
      <c r="J15" s="30">
        <f>IF('SUS Raw Responses'!J16="","",'SUS Raw Responses'!J16-1)</f>
        <v/>
      </c>
      <c r="K15" s="37">
        <f>IF('SUS Raw Responses'!K16="","",5-'SUS Raw Responses'!K16)</f>
        <v/>
      </c>
      <c r="L15" s="30">
        <f>IF('SUS Raw Responses'!L16="","",'SUS Raw Responses'!L16-1)</f>
        <v/>
      </c>
      <c r="M15" s="37">
        <f>IF('SUS Raw Responses'!M16="","",5-'SUS Raw Responses'!M16)</f>
        <v/>
      </c>
      <c r="N15" s="38">
        <f>IF(COUNTA(D15,E15,F15,G15,H15,I15,J15,K15,L15,M15)=10,SUM(D15,E15,F15,G15,H15,I15,J15,K15,L15,M15),"")</f>
        <v/>
      </c>
      <c r="O15" s="39">
        <f>IF(N15="","",N15*2.5)</f>
        <v/>
      </c>
    </row>
    <row r="16">
      <c r="A16" s="23" t="inlineStr">
        <is>
          <t>MEAN SUS SCORE</t>
        </is>
      </c>
      <c r="B16" s="29" t="n"/>
      <c r="C16" s="23" t="n"/>
      <c r="D16" s="30" t="n"/>
      <c r="E16" s="37" t="n"/>
      <c r="F16" s="30" t="n"/>
      <c r="G16" s="37" t="n"/>
      <c r="H16" s="30" t="n"/>
      <c r="I16" s="37" t="n"/>
      <c r="J16" s="30" t="n"/>
      <c r="K16" s="37" t="n"/>
      <c r="L16" s="30" t="n"/>
      <c r="M16" s="37" t="n"/>
      <c r="N16" s="38" t="n"/>
      <c r="O16" s="39">
        <f>IF(COUNTA(O4:O15)=12,AVERAGE(O4:O15),"")</f>
        <v/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C2:C3"/>
    <mergeCell ref="A1:O1"/>
    <mergeCell ref="A2:A3"/>
    <mergeCell ref="B2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1"/>
    <col width="10" customWidth="1" style="54" min="2" max="2"/>
    <col width="28" customWidth="1" style="54" min="3" max="3"/>
    <col width="16" customWidth="1" style="54" min="4" max="4"/>
    <col width="14" customWidth="1" style="54" min="5" max="5"/>
    <col width="18" customWidth="1" style="54" min="6" max="6"/>
    <col width="20" customWidth="1" style="54" min="7" max="7"/>
    <col width="8.7265625" customWidth="1" style="54" min="8" max="26"/>
  </cols>
  <sheetData>
    <row r="1" ht="31.5" customHeight="1" s="54">
      <c r="A1" s="81" t="inlineStr">
        <is>
          <t>SUS Evaluation — Summary of Results | IPDC-OSS Platform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19.5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Smartphone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19.5" customHeight="1" s="54">
      <c r="A4" s="24" t="n">
        <v>2</v>
      </c>
      <c r="B4" s="31" t="inlineStr">
        <is>
          <t>P2</t>
        </is>
      </c>
      <c r="C4" s="24" t="inlineStr">
        <is>
          <t>Tenant Representative</t>
        </is>
      </c>
      <c r="D4" s="24" t="inlineStr">
        <is>
          <t>Desktop Computer ( Opera)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19.5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(Chrome)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19.5" customHeight="1" s="54">
      <c r="A6" s="24" t="n">
        <v>4</v>
      </c>
      <c r="B6" s="31" t="inlineStr">
        <is>
          <t>P4</t>
        </is>
      </c>
      <c r="C6" s="24" t="inlineStr">
        <is>
          <t>Operations Staff</t>
        </is>
      </c>
      <c r="D6" s="24" t="inlineStr">
        <is>
          <t>Laptop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19.5" customHeight="1" s="54">
      <c r="A7" s="23" t="n">
        <v>5</v>
      </c>
      <c r="B7" s="29" t="inlineStr">
        <is>
          <t>P5</t>
        </is>
      </c>
      <c r="C7" s="23" t="inlineStr">
        <is>
          <t>IPDC Management Staff</t>
        </is>
      </c>
      <c r="D7" s="23" t="inlineStr">
        <is>
          <t>Laptop (Chrome)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19.5" customHeight="1" s="54">
      <c r="A8" s="24" t="n">
        <v>6</v>
      </c>
      <c r="B8" s="31" t="inlineStr">
        <is>
          <t>P6</t>
        </is>
      </c>
      <c r="C8" s="24" t="inlineStr">
        <is>
          <t>Operations Staff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19.5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Laptop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19.5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Desktop Computer (Chrome)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19.5" customHeight="1" s="54">
      <c r="A11" s="23" t="n">
        <v>9</v>
      </c>
      <c r="B11" s="29" t="inlineStr">
        <is>
          <t>P9</t>
        </is>
      </c>
      <c r="C11" s="23" t="inlineStr">
        <is>
          <t>Tenant Representative</t>
        </is>
      </c>
      <c r="D11" s="23" t="inlineStr">
        <is>
          <t>Smartphone (Opera)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>
      <c r="A12" s="23" t="n">
        <v>10</v>
      </c>
      <c r="B12" s="29" t="inlineStr">
        <is>
          <t>P10</t>
        </is>
      </c>
      <c r="C12" s="23" t="inlineStr">
        <is>
          <t>Operations Staff</t>
        </is>
      </c>
      <c r="D12" s="23" t="inlineStr">
        <is>
          <t>Laptop (Chrome)</t>
        </is>
      </c>
      <c r="E12" s="43">
        <f>'SUS Score Calculation'!O13</f>
        <v/>
      </c>
      <c r="F12" s="30">
        <f>IF(E12="","",IF(E12&gt;85.5,"A",IF(E12&gt;=72.6,"B",IF(E12&gt;=52,"C",IF(E12&gt;=51.7,"D","F")))))</f>
        <v/>
      </c>
      <c r="G12" s="23">
        <f>IF(E12="","",IF(E12&gt;85.5,"Excellent",IF(E12&gt;=72.6,"Good",IF(E12&gt;=52,"OK",IF(E12&gt;=51.7,"Poor","Awful")))))</f>
        <v/>
      </c>
    </row>
    <row r="13" ht="25.5" customHeight="1" s="54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>
        <f>'SUS Score Calculation'!O14</f>
        <v/>
      </c>
      <c r="F13" s="30">
        <f>IF(E13="","",IF(E13&gt;85.5,"A",IF(E13&gt;=72.6,"B",IF(E13&gt;=52,"C",IF(E13&gt;=51.7,"D","F")))))</f>
        <v/>
      </c>
      <c r="G13" s="23">
        <f>IF(E13="","",IF(E13&gt;85.5,"Excellent",IF(E13&gt;=72.6,"Good",IF(E13&gt;=52,"OK",IF(E13&gt;=51.7,"Poor","Awful")))))</f>
        <v/>
      </c>
    </row>
    <row r="14">
      <c r="A14" s="23" t="n">
        <v>12</v>
      </c>
      <c r="B14" s="29" t="inlineStr">
        <is>
          <t>P12</t>
        </is>
      </c>
      <c r="C14" s="23" t="inlineStr">
        <is>
          <t>Tenant Representative</t>
        </is>
      </c>
      <c r="D14" s="23" t="inlineStr">
        <is>
          <t>Smartphone (Chrome)</t>
        </is>
      </c>
      <c r="E14" s="43">
        <f>'SUS Score Calculation'!O15</f>
        <v/>
      </c>
      <c r="F14" s="30">
        <f>IF(E14="","",IF(E14&gt;85.5,"A",IF(E14&gt;=72.6,"B",IF(E14&gt;=52,"C",IF(E14&gt;=51.7,"D","F")))))</f>
        <v/>
      </c>
      <c r="G14" s="23">
        <f>IF(E14="","",IF(E14&gt;85.5,"Excellent",IF(E14&gt;=72.6,"Good",IF(E14&gt;=52,"OK",IF(E14&gt;=51.7,"Poor","Awful")))))</f>
        <v/>
      </c>
    </row>
    <row r="15">
      <c r="A15" s="23" t="inlineStr">
        <is>
          <t>MEAN SUS SCORE</t>
        </is>
      </c>
      <c r="B15" s="29" t="n"/>
      <c r="C15" s="23" t="n"/>
      <c r="D15" s="23" t="n"/>
      <c r="E15" s="43">
        <f>AVERAGE(E3:E14)</f>
        <v/>
      </c>
      <c r="F15" s="30">
        <f>IF(E15="","",IF(E15&gt;85.5,"A",IF(E15&gt;=72.6,"B",IF(E15&gt;=52,"C",IF(E15&gt;=51.7,"D","F")))))</f>
        <v/>
      </c>
      <c r="G15" s="23">
        <f>IF(E15="","",IF(E15&gt;85.5,"Excellent",IF(E15&gt;=72.6,"Good",IF(E15&gt;=52,"OK",IF(E15&gt;=51.7,"Poor","Awful")))))</f>
        <v/>
      </c>
    </row>
    <row r="16" ht="15.75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6:G16"/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6" customWidth="1" style="54" min="1" max="1"/>
    <col width="8" customWidth="1" style="54" min="2" max="2"/>
    <col width="28" customWidth="1" style="54" min="3" max="3"/>
    <col width="26" customWidth="1" style="54" min="4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19.5" customHeight="1" s="54">
      <c r="A2" s="87" t="inlineStr">
        <is>
          <t>These questions are supplementary to the SUS — they do NOT affect the SUS score calculation.</t>
        </is>
      </c>
    </row>
    <row r="3" ht="18" customHeight="1" s="54">
      <c r="A3" s="88" t="inlineStr">
        <is>
          <t>Q8b — Offline Tasks Attempted (tick = attempted)  |  Google Form: Section 6 of 9</t>
        </is>
      </c>
    </row>
    <row r="4" ht="49.5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8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8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8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8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8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8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8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8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>
      <c r="A14" s="23" t="n">
        <v>10</v>
      </c>
      <c r="B14" s="23" t="inlineStr">
        <is>
          <t>P10</t>
        </is>
      </c>
      <c r="C14" s="23" t="inlineStr">
        <is>
          <t>Operations Staff</t>
        </is>
      </c>
      <c r="D14" s="46" t="n"/>
      <c r="E14" s="46" t="inlineStr">
        <is>
          <t>✓</t>
        </is>
      </c>
      <c r="F14" s="46" t="n"/>
      <c r="G14" s="46" t="n"/>
      <c r="H14" s="46" t="n"/>
      <c r="I14" s="46" t="n"/>
    </row>
    <row r="15" ht="14.5" customHeight="1" s="54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n"/>
      <c r="E15" s="46" t="n"/>
      <c r="F15" s="46" t="inlineStr">
        <is>
          <t>✓</t>
        </is>
      </c>
      <c r="G15" s="46" t="n"/>
      <c r="H15" s="46" t="n"/>
      <c r="I15" s="46" t="n"/>
    </row>
    <row r="16">
      <c r="A16" s="23" t="n">
        <v>12</v>
      </c>
      <c r="B16" s="23" t="inlineStr">
        <is>
          <t>P12</t>
        </is>
      </c>
      <c r="C16" s="23" t="inlineStr">
        <is>
          <t>Tenant Representative</t>
        </is>
      </c>
      <c r="D16" s="46" t="inlineStr">
        <is>
          <t>✓</t>
        </is>
      </c>
      <c r="E16" s="46" t="inlineStr">
        <is>
          <t>✓</t>
        </is>
      </c>
      <c r="F16" s="46" t="n"/>
      <c r="G16" s="46" t="n"/>
      <c r="H16" s="46" t="inlineStr">
        <is>
          <t>✓</t>
        </is>
      </c>
      <c r="I16" s="46" t="inlineStr">
        <is>
          <t>✓</t>
        </is>
      </c>
    </row>
    <row r="17" ht="18" customHeight="1" s="54">
      <c r="A17" s="88" t="inlineStr">
        <is>
          <t>Enter  ✓  if the participant attempted the task, or leave blank if not attempted.</t>
        </is>
      </c>
    </row>
    <row r="18" ht="43.5" customHeight="1" s="54">
      <c r="A18" s="32" t="inlineStr">
        <is>
          <t>#</t>
        </is>
      </c>
      <c r="B18" s="32" t="inlineStr">
        <is>
          <t>ID</t>
        </is>
      </c>
      <c r="C18" s="32" t="inlineStr">
        <is>
          <t>Role</t>
        </is>
      </c>
      <c r="D18" s="32" t="inlineStr">
        <is>
          <t>Q19: Offline data confidence (1–5)
1=Not confident  5=Fully confident</t>
        </is>
      </c>
      <c r="E18" s="32" t="inlineStr">
        <is>
          <t>Q20: Online/offline clarity
Yes always / Sometimes / No</t>
        </is>
      </c>
    </row>
    <row r="19" ht="18" customHeight="1" s="54">
      <c r="A19" s="23" t="inlineStr">
        <is>
          <t>Q19 — Offline Confidence Score  |  Q20 — Online/Offline Clarity  |  Google Form: Section 8 of 9</t>
        </is>
      </c>
      <c r="B19" s="23" t="inlineStr">
        <is>
          <t>P1</t>
        </is>
      </c>
      <c r="C19" s="23" t="inlineStr">
        <is>
          <t>IPDC Management Staff</t>
        </is>
      </c>
      <c r="D19" s="30" t="n"/>
      <c r="E19" s="30" t="n"/>
    </row>
    <row r="20" ht="18" customHeight="1" s="54">
      <c r="A20" s="24" t="inlineStr">
        <is>
          <t>#</t>
        </is>
      </c>
      <c r="B20" s="24" t="inlineStr">
        <is>
          <t>ID</t>
        </is>
      </c>
      <c r="C20" s="24" t="inlineStr">
        <is>
          <t>Role</t>
        </is>
      </c>
      <c r="D20" s="30" t="inlineStr">
        <is>
          <t>Q19: Offline data confidence (1–5)
1=Not confident  5=Fully confident</t>
        </is>
      </c>
      <c r="E20" s="30" t="inlineStr">
        <is>
          <t>Q20: Online/offline clarity
Yes always / Sometimes / No</t>
        </is>
      </c>
    </row>
    <row r="21" ht="18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8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8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8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8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8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8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21.75" customHeight="1" s="54">
      <c r="A28" s="89" t="n">
        <v>8</v>
      </c>
      <c r="B28" t="inlineStr">
        <is>
          <t>P8</t>
        </is>
      </c>
      <c r="C28" t="inlineStr">
        <is>
          <t>Operations Staff</t>
        </is>
      </c>
      <c r="D28" s="47" t="n">
        <v>4</v>
      </c>
      <c r="E28" t="inlineStr">
        <is>
          <t>Yes, it was always clear</t>
        </is>
      </c>
    </row>
    <row r="29" ht="15.75" customHeight="1" s="54">
      <c r="A29" t="n">
        <v>9</v>
      </c>
      <c r="B29" t="inlineStr">
        <is>
          <t>P9</t>
        </is>
      </c>
      <c r="C29" t="inlineStr">
        <is>
          <t>Tenant Representative</t>
        </is>
      </c>
      <c r="D29" t="n">
        <v>4</v>
      </c>
      <c r="E29" t="inlineStr">
        <is>
          <t>Yes, it was always clear</t>
        </is>
      </c>
    </row>
    <row r="30" ht="15.75" customHeight="1" s="54">
      <c r="A30" t="n">
        <v>10</v>
      </c>
      <c r="B30" t="inlineStr">
        <is>
          <t>P10</t>
        </is>
      </c>
      <c r="C30" t="inlineStr">
        <is>
          <t>Operations Staff</t>
        </is>
      </c>
      <c r="D30" t="n">
        <v>4</v>
      </c>
      <c r="E30" t="inlineStr">
        <is>
          <t>Sometimes clear, sometimes not</t>
        </is>
      </c>
    </row>
    <row r="31" ht="15.75" customHeight="1" s="54">
      <c r="A31" t="n">
        <v>11</v>
      </c>
      <c r="B31" t="inlineStr">
        <is>
          <t>P11</t>
        </is>
      </c>
      <c r="C31" t="inlineStr">
        <is>
          <t>Operations Staff</t>
        </is>
      </c>
      <c r="D31" t="n">
        <v>4</v>
      </c>
      <c r="E31" t="inlineStr">
        <is>
          <t>Yes, it was always clear</t>
        </is>
      </c>
    </row>
    <row r="32" ht="15.75" customHeight="1" s="54">
      <c r="A32" t="n">
        <v>12</v>
      </c>
      <c r="B32" t="inlineStr">
        <is>
          <t>P12</t>
        </is>
      </c>
      <c r="C32" t="inlineStr">
        <is>
          <t>Tenant Representative</t>
        </is>
      </c>
      <c r="D32" t="n">
        <v>4</v>
      </c>
      <c r="E32" t="inlineStr">
        <is>
          <t>Yes, it was always clear</t>
        </is>
      </c>
    </row>
    <row r="33" ht="15.75" customHeight="1" s="54">
      <c r="A33" s="89" t="inlineStr">
        <is>
          <t>MEAN (Q19)</t>
        </is>
      </c>
      <c r="D33" s="47">
        <f>IFERROR(AVERAGEIF(D21:D32,"&lt;&gt;"),"")</f>
        <v/>
      </c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2026-03-24T06:50:05Z</dcterms:modified>
  <cp:lastModifiedBy>asus</cp:lastModifiedBy>
</cp:coreProperties>
</file>