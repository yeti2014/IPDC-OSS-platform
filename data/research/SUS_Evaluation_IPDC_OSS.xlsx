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930" windowHeight="10530" tabRatio="600" firstSheet="0" activeTab="0" autoFilterDateGrouping="1"/>
  </bookViews>
  <sheets>
    <sheet name="Form Responses 1" sheetId="1" state="visible" r:id="rId1"/>
    <sheet name="Instructions" sheetId="2" state="visible" r:id="rId2"/>
    <sheet name="Participant Profiles" sheetId="3" state="visible" r:id="rId3"/>
    <sheet name="SUS Raw Responses" sheetId="4" state="visible" r:id="rId4"/>
    <sheet name="SUS Score Calculation" sheetId="5" state="visible" r:id="rId5"/>
    <sheet name="Summary &amp; Results" sheetId="6" state="visible" r:id="rId6"/>
    <sheet name="Offline Experience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m/d/yyyy\ h:mm:ss"/>
    <numFmt numFmtId="165" formatCode="0.0"/>
  </numFmts>
  <fonts count="33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sz val="11"/>
    </font>
    <font>
      <name val="Calibri"/>
      <b val="1"/>
      <color rgb="FFFFFFFF"/>
      <sz val="11"/>
    </font>
    <font>
      <name val="Calibri"/>
      <b val="1"/>
      <color rgb="FF1565C0"/>
      <sz val="11"/>
    </font>
    <font>
      <name val="Calibri"/>
      <color rgb="FF212121"/>
      <sz val="10"/>
    </font>
    <font>
      <name val="Calibri"/>
      <b val="1"/>
      <color rgb="FF1565C0"/>
      <sz val="10"/>
    </font>
    <font>
      <name val="Calibri"/>
      <b val="1"/>
      <color rgb="FF212121"/>
      <sz val="10"/>
    </font>
    <font>
      <name val="Calibri"/>
      <color rgb="FF2E7D32"/>
      <sz val="10"/>
    </font>
    <font>
      <name val="Calibri"/>
      <b val="1"/>
      <color rgb="FF2E7D32"/>
      <sz val="10"/>
    </font>
    <font>
      <name val="Calibri"/>
      <color rgb="FF1565C0"/>
      <sz val="10"/>
    </font>
    <font>
      <name val="Calibri"/>
      <color rgb="FFF57F17"/>
      <sz val="10"/>
    </font>
    <font>
      <name val="Calibri"/>
      <b val="1"/>
      <color rgb="FFF57F17"/>
      <sz val="10"/>
    </font>
    <font>
      <name val="Calibri"/>
      <color rgb="FFBF360C"/>
      <sz val="10"/>
    </font>
    <font>
      <name val="Calibri"/>
      <b val="1"/>
      <color rgb="FFBF360C"/>
      <sz val="10"/>
    </font>
    <font>
      <name val="Calibri"/>
      <color rgb="FFB71C1C"/>
      <sz val="10"/>
    </font>
    <font>
      <name val="Calibri"/>
      <b val="1"/>
      <color rgb="FFB71C1C"/>
      <sz val="10"/>
    </font>
    <font>
      <name val="Calibri"/>
      <b val="1"/>
      <color rgb="FFFFFFFF"/>
      <sz val="10"/>
    </font>
    <font>
      <name val="Calibri"/>
      <b val="1"/>
      <color rgb="FFE65100"/>
      <sz val="10"/>
    </font>
    <font>
      <name val="Calibri"/>
      <b val="1"/>
      <color rgb="FFFFFFFF"/>
      <sz val="13"/>
    </font>
    <font>
      <name val="Calibri"/>
      <i val="1"/>
      <color rgb="FF757575"/>
      <sz val="9"/>
    </font>
    <font>
      <name val="Calibri"/>
      <b val="1"/>
      <color rgb="FFFFFFFF"/>
      <sz val="12"/>
    </font>
    <font>
      <name val="Calibri"/>
      <color rgb="FF212121"/>
      <sz val="8"/>
    </font>
    <font>
      <name val="Calibri"/>
      <i val="1"/>
      <color rgb="FF424242"/>
      <sz val="9"/>
    </font>
    <font>
      <name val="Calibri"/>
      <i val="1"/>
      <color theme="1"/>
      <sz val="8"/>
    </font>
    <font>
      <name val="Calibri"/>
      <b val="1"/>
      <color rgb="FFFFFFFF"/>
      <sz val="9"/>
    </font>
    <font>
      <name val="Calibri"/>
      <b val="1"/>
      <color rgb="FFE65100"/>
      <sz val="11"/>
    </font>
    <font>
      <name val="Calibri"/>
      <b val="1"/>
      <color rgb="FF212121"/>
      <sz val="11"/>
    </font>
    <font>
      <name val="Calibri"/>
      <b val="1"/>
      <color rgb="FF2E7D32"/>
      <sz val="12"/>
    </font>
    <font>
      <name val="Calibri"/>
      <b val="1"/>
      <color rgb="FF2E7D32"/>
      <sz val="11"/>
    </font>
    <font>
      <b val="1"/>
    </font>
    <font/>
  </fonts>
  <fills count="14">
    <fill>
      <patternFill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1976D2"/>
        <bgColor rgb="FF1976D2"/>
      </patternFill>
    </fill>
    <fill>
      <patternFill patternType="solid">
        <fgColor rgb="FFBBDEFB"/>
        <bgColor rgb="FFBBDEFB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  <fill>
      <patternFill patternType="solid">
        <fgColor rgb="FF1E88E5"/>
        <bgColor rgb="FF1E88E5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E65100"/>
        <bgColor rgb="FFE65100"/>
      </patternFill>
    </fill>
    <fill>
      <patternFill patternType="solid">
        <fgColor rgb="FF2E7D32"/>
        <bgColor rgb="FF2E7D32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/>
      <bottom/>
      <diagonal/>
    </border>
    <border>
      <left style="thin">
        <color rgb="FFBDBDBD"/>
      </left>
      <right style="thin">
        <color rgb="FFBDBDBD"/>
      </right>
      <top/>
      <bottom/>
      <diagonal/>
    </border>
    <border/>
  </borders>
  <cellStyleXfs count="1">
    <xf numFmtId="0" fontId="1" fillId="0" borderId="3"/>
  </cellStyleXfs>
  <cellXfs count="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4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12" fillId="5" borderId="4" applyAlignment="1" pivotButton="0" quotePrefix="0" xfId="0">
      <alignment horizontal="center" vertical="center"/>
    </xf>
    <xf numFmtId="0" fontId="13" fillId="5" borderId="4" applyAlignment="1" pivotButton="0" quotePrefix="0" xfId="0">
      <alignment horizontal="center" vertical="center"/>
    </xf>
    <xf numFmtId="0" fontId="14" fillId="7" borderId="4" applyAlignment="1" pivotButton="0" quotePrefix="0" xfId="0">
      <alignment horizontal="center" vertical="center"/>
    </xf>
    <xf numFmtId="0" fontId="15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7" fillId="8" borderId="4" applyAlignment="1" pivotButton="0" quotePrefix="0" xfId="0">
      <alignment horizontal="center" vertical="center"/>
    </xf>
    <xf numFmtId="0" fontId="18" fillId="9" borderId="4" applyAlignment="1" pivotButton="0" quotePrefix="0" xfId="0">
      <alignment horizontal="center" vertical="center"/>
    </xf>
    <xf numFmtId="0" fontId="8" fillId="10" borderId="4" applyAlignment="1" pivotButton="0" quotePrefix="0" xfId="0">
      <alignment horizontal="left" vertical="center" wrapText="1"/>
    </xf>
    <xf numFmtId="0" fontId="6" fillId="11" borderId="4" applyAlignment="1" pivotButton="0" quotePrefix="0" xfId="0">
      <alignment horizontal="left" vertical="center" wrapText="1"/>
    </xf>
    <xf numFmtId="0" fontId="18" fillId="9" borderId="4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0" fontId="6" fillId="10" borderId="4" applyAlignment="1" pivotButton="0" quotePrefix="0" xfId="0">
      <alignment horizontal="center" vertical="center"/>
    </xf>
    <xf numFmtId="0" fontId="18" fillId="12" borderId="4" applyAlignment="1" pivotButton="0" quotePrefix="0" xfId="0">
      <alignment horizontal="center" vertical="center"/>
    </xf>
    <xf numFmtId="0" fontId="23" fillId="4" borderId="4" applyAlignment="1" pivotButton="0" quotePrefix="0" xfId="0">
      <alignment horizontal="center" vertical="center" wrapText="1"/>
    </xf>
    <xf numFmtId="0" fontId="23" fillId="7" borderId="4" applyAlignment="1" pivotButton="0" quotePrefix="0" xfId="0">
      <alignment horizontal="center" vertical="center" wrapText="1"/>
    </xf>
    <xf numFmtId="0" fontId="25" fillId="5" borderId="4" pivotButton="0" quotePrefix="0" xfId="0"/>
    <xf numFmtId="0" fontId="8" fillId="11" borderId="4" applyAlignment="1" pivotButton="0" quotePrefix="0" xfId="0">
      <alignment horizontal="center" vertical="center"/>
    </xf>
    <xf numFmtId="0" fontId="5" fillId="11" borderId="4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26" fillId="9" borderId="4" applyAlignment="1" pivotButton="0" quotePrefix="0" xfId="0">
      <alignment horizontal="center" vertical="center" wrapText="1"/>
    </xf>
    <xf numFmtId="0" fontId="26" fillId="12" borderId="4" applyAlignment="1" pivotButton="0" quotePrefix="0" xfId="0">
      <alignment horizontal="center" vertical="center" wrapText="1"/>
    </xf>
    <xf numFmtId="0" fontId="24" fillId="4" borderId="4" applyAlignment="1" pivotButton="0" quotePrefix="0" xfId="0">
      <alignment horizontal="center" vertical="center"/>
    </xf>
    <xf numFmtId="0" fontId="24" fillId="7" borderId="4" applyAlignment="1" pivotButton="0" quotePrefix="0" xfId="0">
      <alignment horizontal="center" vertical="center"/>
    </xf>
    <xf numFmtId="0" fontId="24" fillId="4" borderId="4" applyAlignment="1" pivotButton="0" quotePrefix="0" xfId="0">
      <alignment horizontal="center" vertical="center" wrapText="1"/>
    </xf>
    <xf numFmtId="0" fontId="27" fillId="11" borderId="4" applyAlignment="1" pivotButton="0" quotePrefix="0" xfId="0">
      <alignment horizontal="center" vertical="center"/>
    </xf>
    <xf numFmtId="0" fontId="28" fillId="5" borderId="4" applyAlignment="1" pivotButton="0" quotePrefix="0" xfId="0">
      <alignment horizontal="center" vertical="center"/>
    </xf>
    <xf numFmtId="0" fontId="29" fillId="6" borderId="4" applyAlignment="1" pivotButton="0" quotePrefix="0" xfId="0">
      <alignment horizontal="center" vertical="center"/>
    </xf>
    <xf numFmtId="0" fontId="5" fillId="10" borderId="4" applyAlignment="1" pivotButton="0" quotePrefix="0" xfId="0">
      <alignment horizontal="center" vertical="center"/>
    </xf>
    <xf numFmtId="0" fontId="27" fillId="10" borderId="4" applyAlignment="1" pivotButton="0" quotePrefix="0" xfId="0">
      <alignment horizontal="center" vertical="center"/>
    </xf>
    <xf numFmtId="165" fontId="20" fillId="13" borderId="4" applyAlignment="1" pivotButton="0" quotePrefix="0" xfId="0">
      <alignment horizontal="center" vertical="center"/>
    </xf>
    <xf numFmtId="165" fontId="30" fillId="6" borderId="4" applyAlignment="1" pivotButton="0" quotePrefix="0" xfId="0">
      <alignment horizontal="center" vertical="center"/>
    </xf>
    <xf numFmtId="0" fontId="22" fillId="13" borderId="4" applyAlignment="1" pivotButton="0" quotePrefix="0" xfId="0">
      <alignment horizontal="center" vertical="center"/>
    </xf>
    <xf numFmtId="0" fontId="4" fillId="13" borderId="4" applyAlignment="1" pivotButton="0" quotePrefix="0" xfId="0">
      <alignment horizontal="center" vertical="center"/>
    </xf>
    <xf numFmtId="49" fontId="5" fillId="11" borderId="4" applyAlignment="1" pivotButton="0" quotePrefix="0" xfId="0">
      <alignment horizontal="center" vertical="center"/>
    </xf>
    <xf numFmtId="2" fontId="22" fillId="13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3" fillId="0" borderId="6" pivotButton="0" quotePrefix="0" xfId="0"/>
    <xf numFmtId="0" fontId="6" fillId="5" borderId="5" applyAlignment="1" pivotButton="0" quotePrefix="0" xfId="0">
      <alignment horizontal="left" vertical="center" wrapText="1"/>
    </xf>
    <xf numFmtId="0" fontId="19" fillId="7" borderId="5" applyAlignment="1" pivotButton="0" quotePrefix="0" xfId="0">
      <alignment horizontal="left" vertical="center" wrapText="1"/>
    </xf>
    <xf numFmtId="0" fontId="3" fillId="0" borderId="7" pivotButton="0" quotePrefix="0" xfId="0"/>
    <xf numFmtId="0" fontId="20" fillId="2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center" vertical="center" wrapText="1"/>
    </xf>
    <xf numFmtId="0" fontId="18" fillId="9" borderId="8" applyAlignment="1" pivotButton="0" quotePrefix="0" xfId="0">
      <alignment horizontal="center" vertical="center" wrapText="1"/>
    </xf>
    <xf numFmtId="0" fontId="3" fillId="0" borderId="9" pivotButton="0" quotePrefix="0" xfId="0"/>
    <xf numFmtId="0" fontId="24" fillId="5" borderId="5" applyAlignment="1" pivotButton="0" quotePrefix="0" xfId="0">
      <alignment horizontal="left" vertical="center" wrapText="1"/>
    </xf>
    <xf numFmtId="0" fontId="4" fillId="13" borderId="5" applyAlignment="1" pivotButton="0" quotePrefix="0" xfId="0">
      <alignment horizontal="center" vertical="center"/>
    </xf>
    <xf numFmtId="0" fontId="21" fillId="0" borderId="0" pivotButton="0" quotePrefix="0" xfId="0"/>
    <xf numFmtId="0" fontId="18" fillId="13" borderId="5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6" fillId="5" borderId="4" applyAlignment="1" pivotButton="0" quotePrefix="0" xfId="0">
      <alignment horizontal="left" vertical="center" wrapText="1"/>
    </xf>
    <xf numFmtId="0" fontId="19" fillId="7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20" fillId="2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left" vertical="center" wrapText="1"/>
    </xf>
    <xf numFmtId="0" fontId="22" fillId="2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24" fillId="5" borderId="4" applyAlignment="1" pivotButton="0" quotePrefix="0" xfId="0">
      <alignment horizontal="left" vertical="center" wrapText="1"/>
    </xf>
    <xf numFmtId="0" fontId="21" fillId="0" borderId="3" pivotButton="0" quotePrefix="0" xfId="0"/>
    <xf numFmtId="0" fontId="18" fillId="3" borderId="3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18" fillId="13" borderId="4" applyAlignment="1" pivotButton="0" quotePrefix="0" xfId="0">
      <alignment horizontal="center" vertical="center"/>
    </xf>
    <xf numFmtId="0" fontId="1" fillId="0" borderId="3" pivotButton="0" quotePrefix="0" xfId="0"/>
    <xf numFmtId="0" fontId="31" fillId="11" borderId="4" applyAlignment="1" pivotButton="0" quotePrefix="0" xfId="0">
      <alignment horizontal="center" vertical="center"/>
    </xf>
    <xf numFmtId="0" fontId="32" fillId="0" borderId="14" pivotButton="0" quotePrefix="0" xfId="0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SUS Scores per Participant — IPDC-OSS Platform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'Summary &amp; Results'!$E$2</f>
              <strCache>
                <ptCount val="1"/>
                <pt idx="0">
                  <v>SUS Score</v>
                </pt>
              </strCache>
            </strRef>
          </tx>
          <spPr>
            <a:solidFill>
              <a:srgbClr val="1976D2"/>
            </a:solidFill>
            <a:ln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'Summary &amp; Results'!$B$3:$B$11</f>
              <strCache>
                <ptCount val="9"/>
                <pt idx="0">
                  <v>P1</v>
                </pt>
                <pt idx="1">
                  <v>P2</v>
                </pt>
                <pt idx="2">
                  <v>P3</v>
                </pt>
                <pt idx="3">
                  <v>P4</v>
                </pt>
                <pt idx="4">
                  <v>P5</v>
                </pt>
                <pt idx="5">
                  <v>P6</v>
                </pt>
                <pt idx="6">
                  <v>P7</v>
                </pt>
                <pt idx="7">
                  <v>P8</v>
                </pt>
                <pt idx="8">
                  <v>P9</v>
                </pt>
              </strCache>
            </strRef>
          </cat>
          <val>
            <numRef>
              <f>'Summary &amp; Results'!$E$3:$E$11</f>
              <numCache>
                <formatCode>0.0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49098492"/>
        <axId val="184894689"/>
      </barChart>
      <catAx>
        <axId val="204909849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84894689"/>
        <crosses val="autoZero"/>
        <auto val="1"/>
        <lblAlgn val="ctr"/>
        <lblOffset val="100"/>
        <noMultiLvlLbl val="1"/>
      </catAx>
      <valAx>
        <axId val="18489468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SUS Score</a:t>
                </a:r>
              </a:p>
            </rich>
          </tx>
          <overlay val="0"/>
        </title>
        <numFmt formatCode="0.0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2049098492"/>
        <crosses val="autoZero"/>
        <crossBetween val="between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191375" cy="43148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Form_Responses" displayName="Form_Responses" ref="A1:AB13" headerRowCount="1">
  <tableColumns count="28">
    <tableColumn id="1" name="Timestamp"/>
    <tableColumn id="2" name="Q1. In which role did you register to access the platform?"/>
    <tableColumn id="3" name="Q2.  Which industrial park or Special Economic Zone (SEZ) are you based at? / If you are new please skip"/>
    <tableColumn id="4" name="Q3.  What device did you use during the evaluation?"/>
    <tableColumn id="5" name="Q4.  How long have you been working at this park or SEZ / with IPDC?"/>
    <tableColumn id="6" name="Q5. Company name"/>
    <tableColumn id="7" name="Q6. Investment type"/>
    <tableColumn id="8" name="Q7. Industry sector"/>
    <tableColumn id="9" name="Q 8a. Which tasks did you complete during today's evaluation?"/>
    <tableColumn id="10" name="Q 8a. Which tasks did you complete during today's evaluation? 2"/>
    <tableColumn id="11" name="Q 8a. Which tasks did you complete during today's evaluation? 3"/>
    <tableColumn id="12" name="Q8b. During the offline simulation (airplane mode), which actions did you attempt?"/>
    <tableColumn id="13" name="_x000a_Q9. I think that I would like to use this system frequently."/>
    <tableColumn id="14" name="_x000a_Q10.  I found the system unnecessarily complex."/>
    <tableColumn id="15" name="_x000a_Q11.   I thought the system was easy to use."/>
    <tableColumn id="16" name="_x000a_Q12.   I think that I would need the support of a technical person to use this system."/>
    <tableColumn id="17" name="_x000a_Q13.   I found the various functions in this system were well integrated."/>
    <tableColumn id="18" name="_x000a_Q14.   I thought there was too much inconsistency in this system."/>
    <tableColumn id="19" name="_x000a_Q15.   I would imagine that most people would learn to use this system very quickly."/>
    <tableColumn id="20" name="_x000a_Q16.    I found the system very cumbersome to use."/>
    <tableColumn id="21" name="_x000a_Q17.  I felt very confident using the system."/>
    <tableColumn id="22" name="_x000a_Q18.  I needed to learn a lot of things before I could get going with this system."/>
    <tableColumn id="23" name="Q19.  How confident were you that your data was saved when the network was unavailable? (Linear scale 1–5: 1 = Not confident at all → 5 = Fully confident)"/>
    <tableColumn id="24" name="Q20.  Did the platform clearly communicate when you were offline vs. online?"/>
    <tableColumn id="25" name="Q21.  What did you find most useful about the platform?"/>
    <tableColumn id="26" name="Q22.  What was the most frustrating or confusing part?"/>
    <tableColumn id="27" name="Q23.  If you could change one thing about the platform, what would it be?"/>
    <tableColumn id="28" name="Q24. Any other comments or suggestions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3"/>
  <sheetViews>
    <sheetView tabSelected="1" workbookViewId="0">
      <pane ySplit="1" topLeftCell="A2" activePane="bottomLeft" state="frozen"/>
      <selection pane="bottomLeft" activeCell="C18" sqref="C18"/>
    </sheetView>
  </sheetViews>
  <sheetFormatPr baseColWidth="8" defaultColWidth="14.453125" defaultRowHeight="15" customHeight="1"/>
  <cols>
    <col width="21.6328125" customWidth="1" style="54" min="1" max="1"/>
    <col width="32" customWidth="1" style="54" min="2" max="2"/>
    <col width="43" customWidth="1" style="54" min="3" max="5"/>
    <col width="24" customWidth="1" style="54" min="6" max="6"/>
    <col width="24.26953125" customWidth="1" style="54" min="7" max="7"/>
    <col width="23.453125" customWidth="1" style="54" min="8" max="8"/>
    <col width="53.7265625" customWidth="1" style="54" min="9" max="9"/>
    <col width="52.90625" customWidth="1" style="54" min="10" max="10"/>
    <col width="43" customWidth="1" style="54" min="11" max="16"/>
    <col width="59.54296875" customWidth="1" style="54" min="17" max="17"/>
    <col width="43" customWidth="1" style="54" min="18" max="18"/>
    <col width="71.81640625" customWidth="1" style="54" min="19" max="19"/>
    <col width="43" customWidth="1" style="54" min="20" max="21"/>
    <col width="57.1796875" customWidth="1" style="54" min="22" max="22"/>
    <col width="49.453125" customWidth="1" style="54" min="23" max="23"/>
    <col width="43" customWidth="1" style="54" min="24" max="24"/>
    <col width="110.26953125" customWidth="1" style="54" min="25" max="25"/>
    <col width="86.1796875" customWidth="1" style="54" min="26" max="26"/>
    <col width="59.90625" customWidth="1" style="54" min="27" max="27"/>
    <col width="65.6328125" customWidth="1" style="54" min="28" max="28"/>
    <col width="21.54296875" customWidth="1" style="54" min="29" max="34"/>
  </cols>
  <sheetData>
    <row r="1" ht="22.5" customHeight="1" s="54">
      <c r="A1" s="1" t="inlineStr">
        <is>
          <t>Timestamp</t>
        </is>
      </c>
      <c r="B1" s="1" t="inlineStr">
        <is>
          <t>Q1. In which role did you register to access the platform?</t>
        </is>
      </c>
      <c r="C1" s="1" t="inlineStr">
        <is>
          <t>Q2.  Which industrial park or Special Economic Zone (SEZ) are you based at? / If you are new please skip</t>
        </is>
      </c>
      <c r="D1" s="1" t="inlineStr">
        <is>
          <t>Q3.  What device did you use during the evaluation?</t>
        </is>
      </c>
      <c r="E1" s="1" t="inlineStr">
        <is>
          <t>Q4.  How long have you been working at this park or SEZ / with IPDC?</t>
        </is>
      </c>
      <c r="F1" s="1" t="inlineStr">
        <is>
          <t>Q5. Company name</t>
        </is>
      </c>
      <c r="G1" s="1" t="inlineStr">
        <is>
          <t>Q6. Investment type</t>
        </is>
      </c>
      <c r="H1" s="1" t="inlineStr">
        <is>
          <t>Q7. Industry sector</t>
        </is>
      </c>
      <c r="I1" s="1" t="inlineStr">
        <is>
          <t>Q 8a. Which tasks did you complete during today's evaluation?</t>
        </is>
      </c>
      <c r="J1" s="1" t="inlineStr">
        <is>
          <t>Q 8a. Which tasks did you complete during today's evaluation? 2</t>
        </is>
      </c>
      <c r="K1" s="1" t="inlineStr">
        <is>
          <t>Q 8a. Which tasks did you complete during today's evaluation? 3</t>
        </is>
      </c>
      <c r="L1" s="1" t="inlineStr">
        <is>
          <t>Q8b. During the offline simulation (airplane mode), which actions did you attempt?</t>
        </is>
      </c>
      <c r="M1" s="1" t="inlineStr">
        <is>
          <t xml:space="preserve">
Q9. I think that I would like to use this system frequently.</t>
        </is>
      </c>
      <c r="N1" s="1" t="inlineStr">
        <is>
          <t xml:space="preserve">
Q10.  I found the system unnecessarily complex.</t>
        </is>
      </c>
      <c r="O1" s="1" t="inlineStr">
        <is>
          <t xml:space="preserve">
Q11.   I thought the system was easy to use.</t>
        </is>
      </c>
      <c r="P1" s="1" t="inlineStr">
        <is>
          <t xml:space="preserve">
Q12.   I think that I would need the support of a technical person to use this system.</t>
        </is>
      </c>
      <c r="Q1" s="1" t="inlineStr">
        <is>
          <t xml:space="preserve">
Q13.   I found the various functions in this system were well integrated.</t>
        </is>
      </c>
      <c r="R1" s="1" t="inlineStr">
        <is>
          <t xml:space="preserve">
Q14.   I thought there was too much inconsistency in this system.</t>
        </is>
      </c>
      <c r="S1" s="1" t="inlineStr">
        <is>
          <t xml:space="preserve">
Q15.   I would imagine that most people would learn to use this system very quickly.</t>
        </is>
      </c>
      <c r="T1" s="1" t="inlineStr">
        <is>
          <t xml:space="preserve">
Q16.    I found the system very cumbersome to use.</t>
        </is>
      </c>
      <c r="U1" s="1" t="inlineStr">
        <is>
          <t xml:space="preserve">
Q17.  I felt very confident using the system.</t>
        </is>
      </c>
      <c r="V1" s="1" t="inlineStr">
        <is>
          <t xml:space="preserve">
Q18.  I needed to learn a lot of things before I could get going with this system.</t>
        </is>
      </c>
      <c r="W1" s="1" t="inlineStr">
        <is>
          <t>Q19.  How confident were you that your data was saved when the network was unavailable? (Linear scale 1–5: 1 = Not confident at all → 5 = Fully confident)</t>
        </is>
      </c>
      <c r="X1" s="1" t="inlineStr">
        <is>
          <t>Q20.  Did the platform clearly communicate when you were offline vs. online?</t>
        </is>
      </c>
      <c r="Y1" s="1" t="inlineStr">
        <is>
          <t>Q21.  What did you find most useful about the platform?</t>
        </is>
      </c>
      <c r="Z1" s="1" t="inlineStr">
        <is>
          <t>Q22.  What was the most frustrating or confusing part?</t>
        </is>
      </c>
      <c r="AA1" s="1" t="inlineStr">
        <is>
          <t>Q23.  If you could change one thing about the platform, what would it be?</t>
        </is>
      </c>
      <c r="AB1" s="1" t="inlineStr">
        <is>
          <t>Q24. Any other comments or suggestions?</t>
        </is>
      </c>
    </row>
    <row r="2" ht="22.5" customHeight="1" s="54">
      <c r="A2" s="5" t="n">
        <v>46090.50363871528</v>
      </c>
      <c r="B2" s="6" t="inlineStr">
        <is>
          <t>IPDC Management Staff</t>
        </is>
      </c>
      <c r="C2" s="6" t="inlineStr">
        <is>
          <t>IPDC Headquarters</t>
        </is>
      </c>
      <c r="D2" s="48" t="inlineStr">
        <is>
          <t>Smartphone (Chrome  browser)</t>
        </is>
      </c>
      <c r="E2" s="6" t="inlineStr">
        <is>
          <t>More than 3 years</t>
        </is>
      </c>
      <c r="F2" s="6" t="n"/>
      <c r="G2" s="6" t="n"/>
      <c r="H2" s="6" t="n"/>
      <c r="I2" s="6" t="inlineStr">
        <is>
          <t>Reviewed and approved or rejected a tenant service request, Resolved a tenant complaint with resolution notes, Published a park-wide announcement, Viewed request analytics and summary dashboard</t>
        </is>
      </c>
      <c r="J2" s="6" t="n"/>
      <c r="K2" s="6" t="n"/>
      <c r="L2" s="6" t="inlineStr">
        <is>
          <t>Browsed the dashboard while offline, Reviewed or processed a request while offline (Management), Logged out, then logged back in while offline using previously cached credentials, Received a sync confirmation banner when the network was restored</t>
        </is>
      </c>
      <c r="M2" s="6" t="n">
        <v>5</v>
      </c>
      <c r="N2" s="6" t="n">
        <v>1</v>
      </c>
      <c r="O2" s="6" t="n">
        <v>5</v>
      </c>
      <c r="P2" s="6" t="n">
        <v>2</v>
      </c>
      <c r="Q2" s="6" t="n">
        <v>5</v>
      </c>
      <c r="R2" s="6" t="n">
        <v>2</v>
      </c>
      <c r="S2" s="6" t="n">
        <v>4</v>
      </c>
      <c r="T2" s="6" t="n">
        <v>2</v>
      </c>
      <c r="U2" s="6" t="n">
        <v>5</v>
      </c>
      <c r="V2" s="6" t="n">
        <v>2</v>
      </c>
      <c r="W2" s="6" t="n">
        <v>4</v>
      </c>
      <c r="X2" s="6" t="inlineStr">
        <is>
          <t>Yes, it was always clear</t>
        </is>
      </c>
      <c r="Y2" s="6" t="inlineStr">
        <is>
          <t>The offline Capability of the platform</t>
        </is>
      </c>
      <c r="Z2" s="6" t="inlineStr">
        <is>
          <t>It was not confusing at all</t>
        </is>
      </c>
      <c r="AA2" s="6" t="inlineStr">
        <is>
          <t>Adding Amharic language (multimodal)</t>
        </is>
      </c>
      <c r="AB2" s="48" t="inlineStr">
        <is>
          <t>Upgrade this platform to production stage</t>
        </is>
      </c>
    </row>
    <row r="3" ht="22.5" customHeight="1" s="54">
      <c r="A3" s="5" t="n">
        <v>46097.05842277778</v>
      </c>
      <c r="B3" s="6" t="inlineStr">
        <is>
          <t>Tenant Company Representative</t>
        </is>
      </c>
      <c r="C3" s="6" t="inlineStr">
        <is>
          <t>IPDC Headquarters</t>
        </is>
      </c>
      <c r="D3" s="6" t="inlineStr">
        <is>
          <t>Desktop Computer ( Opera  browser)</t>
        </is>
      </c>
      <c r="E3" s="6" t="inlineStr">
        <is>
          <t>New or not settled in IPDC</t>
        </is>
      </c>
      <c r="F3" s="6" t="inlineStr">
        <is>
          <t>LF</t>
        </is>
      </c>
      <c r="G3" s="6" t="inlineStr">
        <is>
          <t>Foreign-invested enterprise</t>
        </is>
      </c>
      <c r="H3" s="6" t="inlineStr">
        <is>
          <t>Other: ________</t>
        </is>
      </c>
      <c r="J3" s="6" t="inlineStr">
        <is>
          <t>Submitted a new service request</t>
        </is>
      </c>
      <c r="L3" s="6" t="inlineStr">
        <is>
          <t>Submitted a service request while offline (Tenant)</t>
        </is>
      </c>
      <c r="M3" s="6" t="n">
        <v>4</v>
      </c>
      <c r="N3" s="6" t="n">
        <v>2</v>
      </c>
      <c r="O3" s="6" t="n">
        <v>5</v>
      </c>
      <c r="P3" s="6" t="n">
        <v>2</v>
      </c>
      <c r="Q3" s="6" t="n">
        <v>4</v>
      </c>
      <c r="R3" s="6" t="n">
        <v>2</v>
      </c>
      <c r="S3" s="6" t="n">
        <v>4</v>
      </c>
      <c r="T3" s="6" t="n">
        <v>1</v>
      </c>
      <c r="U3" s="6" t="n">
        <v>4</v>
      </c>
      <c r="V3" s="6" t="n">
        <v>2</v>
      </c>
      <c r="W3" s="6" t="n">
        <v>4</v>
      </c>
      <c r="X3" s="6" t="inlineStr">
        <is>
          <t>Yes, it was always clear</t>
        </is>
      </c>
      <c r="Y3" s="6" t="inlineStr">
        <is>
          <t>to solve the problems easily and efficiently</t>
        </is>
      </c>
      <c r="Z3" s="48" t="inlineStr">
        <is>
          <t>Not frustrating part</t>
        </is>
      </c>
      <c r="AA3" s="48" t="inlineStr">
        <is>
          <t>It met the Prototype qualification</t>
        </is>
      </c>
      <c r="AB3" s="48" t="n"/>
    </row>
    <row r="4" ht="22.5" customHeight="1" s="54">
      <c r="A4" s="5" t="n">
        <v>46099.23142234953</v>
      </c>
      <c r="B4" s="6" t="inlineStr">
        <is>
          <t>IPDC Management Staff</t>
        </is>
      </c>
      <c r="C4" s="6" t="inlineStr">
        <is>
          <t>IPDC Headquarters</t>
        </is>
      </c>
      <c r="D4" s="6" t="inlineStr">
        <is>
          <t>Laptop (Chrome  browser)</t>
        </is>
      </c>
      <c r="E4" s="6" t="inlineStr">
        <is>
          <t>More than 3 years</t>
        </is>
      </c>
      <c r="I4" s="6" t="inlineStr">
        <is>
          <t>Resolved a tenant complaint with resolution notes</t>
        </is>
      </c>
      <c r="L4" s="6" t="inlineStr">
        <is>
          <t>Completed / updated a task while offline (Operations)</t>
        </is>
      </c>
      <c r="M4" s="6" t="n">
        <v>5</v>
      </c>
      <c r="N4" s="6" t="n">
        <v>1</v>
      </c>
      <c r="O4" s="6" t="n">
        <v>4</v>
      </c>
      <c r="P4" s="6" t="n">
        <v>1</v>
      </c>
      <c r="Q4" s="6" t="n">
        <v>5</v>
      </c>
      <c r="R4" s="6" t="n">
        <v>1</v>
      </c>
      <c r="S4" s="6" t="n">
        <v>4</v>
      </c>
      <c r="T4" s="6" t="n">
        <v>2</v>
      </c>
      <c r="U4" s="6" t="n">
        <v>5</v>
      </c>
      <c r="V4" s="6" t="n">
        <v>1</v>
      </c>
      <c r="W4" s="6" t="n">
        <v>5</v>
      </c>
      <c r="X4" s="6" t="inlineStr">
        <is>
          <t>Yes, it was always clear</t>
        </is>
      </c>
      <c r="Y4" s="6" t="inlineStr">
        <is>
          <t>I simplify every activity.</t>
        </is>
      </c>
      <c r="Z4" s="48" t="inlineStr">
        <is>
          <t>It was reliable during online and online</t>
        </is>
      </c>
      <c r="AA4" s="6" t="inlineStr">
        <is>
          <t>I am ok with existing.</t>
        </is>
      </c>
      <c r="AB4" s="6" t="inlineStr">
        <is>
          <t>The platform is good....</t>
        </is>
      </c>
    </row>
    <row r="5" ht="22.5" customHeight="1" s="54">
      <c r="A5" s="5" t="n">
        <v>46099.24636091435</v>
      </c>
      <c r="B5" s="6" t="inlineStr">
        <is>
          <t>Operations / Facility Staff</t>
        </is>
      </c>
      <c r="C5" s="6" t="inlineStr">
        <is>
          <t>IPDC Headquarters</t>
        </is>
      </c>
      <c r="D5" s="6" t="inlineStr">
        <is>
          <t>Laptop (Chrome  browser)</t>
        </is>
      </c>
      <c r="E5" s="6" t="inlineStr">
        <is>
          <t>More than 3 years</t>
        </is>
      </c>
      <c r="K5" s="6" t="inlineStr">
        <is>
          <t>Completed an assigned task and confirmed token deduction</t>
        </is>
      </c>
      <c r="L5" s="6" t="inlineStr">
        <is>
          <t>Submitted a service request while offline (Tenant)</t>
        </is>
      </c>
      <c r="M5" s="6" t="n">
        <v>4</v>
      </c>
      <c r="N5" s="6" t="n">
        <v>1</v>
      </c>
      <c r="O5" s="6" t="n">
        <v>5</v>
      </c>
      <c r="P5" s="6" t="n">
        <v>2</v>
      </c>
      <c r="Q5" s="6" t="n">
        <v>5</v>
      </c>
      <c r="R5" s="6" t="n">
        <v>2</v>
      </c>
      <c r="S5" s="6" t="n">
        <v>4</v>
      </c>
      <c r="T5" s="6" t="n">
        <v>1</v>
      </c>
      <c r="U5" s="6" t="n">
        <v>4</v>
      </c>
      <c r="V5" s="6" t="n">
        <v>2</v>
      </c>
      <c r="W5" s="6" t="n">
        <v>4</v>
      </c>
      <c r="X5" s="6" t="inlineStr">
        <is>
          <t>Yes, it was always clear</t>
        </is>
      </c>
      <c r="Y5" s="6" t="inlineStr">
        <is>
          <t xml:space="preserve">Simplicity </t>
        </is>
      </c>
      <c r="Z5" s="6" t="inlineStr">
        <is>
          <t xml:space="preserve">None </t>
        </is>
      </c>
      <c r="AA5" s="6" t="inlineStr">
        <is>
          <t xml:space="preserve">None </t>
        </is>
      </c>
      <c r="AB5" s="6" t="inlineStr">
        <is>
          <t xml:space="preserve">It is wonderfully done. </t>
        </is>
      </c>
    </row>
    <row r="6" ht="22.5" customHeight="1" s="54">
      <c r="A6" s="5" t="n">
        <v>46099.25548753472</v>
      </c>
      <c r="B6" s="6" t="inlineStr">
        <is>
          <t>IPDC Management Staff</t>
        </is>
      </c>
      <c r="C6" s="6" t="inlineStr">
        <is>
          <t>IPDC Headquarters</t>
        </is>
      </c>
      <c r="D6" s="6" t="inlineStr">
        <is>
          <t>Laptop (Chrome  browser)</t>
        </is>
      </c>
      <c r="E6" s="6" t="inlineStr">
        <is>
          <t>More than 3 years</t>
        </is>
      </c>
      <c r="I6" s="6" t="inlineStr">
        <is>
          <t>Viewed request analytics and summary dashboard</t>
        </is>
      </c>
      <c r="L6" s="6" t="inlineStr">
        <is>
          <t>Received a sync confirmation banner when the network was restored</t>
        </is>
      </c>
      <c r="M6" s="6" t="n">
        <v>4</v>
      </c>
      <c r="N6" s="6" t="n">
        <v>1</v>
      </c>
      <c r="O6" s="6" t="n">
        <v>4</v>
      </c>
      <c r="P6" s="6" t="n">
        <v>1</v>
      </c>
      <c r="Q6" s="6" t="n">
        <v>4</v>
      </c>
      <c r="R6" s="6" t="n">
        <v>1</v>
      </c>
      <c r="S6" s="6" t="n">
        <v>5</v>
      </c>
      <c r="T6" s="6" t="n">
        <v>2</v>
      </c>
      <c r="U6" s="6" t="n">
        <v>4</v>
      </c>
      <c r="V6" s="6" t="n">
        <v>2</v>
      </c>
      <c r="W6" s="6" t="n">
        <v>4</v>
      </c>
      <c r="X6" s="6" t="inlineStr">
        <is>
          <t>Yes, it was always clear</t>
        </is>
      </c>
      <c r="Y6" s="6" t="inlineStr">
        <is>
          <t>it is very crucial</t>
        </is>
      </c>
      <c r="Z6" s="6" t="inlineStr">
        <is>
          <t xml:space="preserve">None </t>
        </is>
      </c>
      <c r="AA6" s="48" t="inlineStr">
        <is>
          <t>nothing for now</t>
        </is>
      </c>
      <c r="AB6" s="48" t="inlineStr">
        <is>
          <t xml:space="preserve">The platform should be reliable for sustainable usage </t>
        </is>
      </c>
    </row>
    <row r="7" ht="22.5" customHeight="1" s="54">
      <c r="A7" s="5" t="n">
        <v>46099.25578788194</v>
      </c>
      <c r="B7" s="6" t="inlineStr">
        <is>
          <t>Operations / Facility Staff</t>
        </is>
      </c>
      <c r="C7" s="6" t="inlineStr">
        <is>
          <t>IPDC Headquarters</t>
        </is>
      </c>
      <c r="D7" s="6" t="inlineStr">
        <is>
          <t>Laptop (Chrome  browser)</t>
        </is>
      </c>
      <c r="E7" s="6" t="inlineStr">
        <is>
          <t>1–3 years</t>
        </is>
      </c>
      <c r="K7" s="6" t="inlineStr">
        <is>
          <t>Viewed the Approved Requests queue and accepted a task, Completed an assigned task and confirmed token deduction, Reviewed completed task history</t>
        </is>
      </c>
      <c r="L7" s="6" t="inlineStr">
        <is>
          <t>Completed / updated a task while offline (Operations)</t>
        </is>
      </c>
      <c r="M7" s="6" t="n">
        <v>4</v>
      </c>
      <c r="N7" s="6" t="n">
        <v>2</v>
      </c>
      <c r="O7" s="6" t="n">
        <v>5</v>
      </c>
      <c r="P7" s="6" t="n">
        <v>2</v>
      </c>
      <c r="Q7" s="6" t="n">
        <v>4</v>
      </c>
      <c r="R7" s="6" t="n">
        <v>1</v>
      </c>
      <c r="S7" s="6" t="n">
        <v>4</v>
      </c>
      <c r="T7" s="6" t="n">
        <v>1</v>
      </c>
      <c r="U7" s="6" t="n">
        <v>4</v>
      </c>
      <c r="V7" s="6" t="n">
        <v>2</v>
      </c>
      <c r="W7" s="6" t="n">
        <v>4</v>
      </c>
      <c r="X7" s="6" t="inlineStr">
        <is>
          <t>Yes, it was always clear</t>
        </is>
      </c>
      <c r="Y7" s="6" t="inlineStr">
        <is>
          <t>It's easy to use and user friendly</t>
        </is>
      </c>
      <c r="Z7" s="6" t="inlineStr">
        <is>
          <t>I haven't found anything frustrating</t>
        </is>
      </c>
      <c r="AA7" s="48" t="inlineStr">
        <is>
          <t>It's ok for a prototype, can be expanded for production</t>
        </is>
      </c>
      <c r="AB7" s="6" t="inlineStr">
        <is>
          <t>Good Job Keep It up !</t>
        </is>
      </c>
    </row>
    <row r="8" ht="22.5" customHeight="1" s="54">
      <c r="A8" s="5" t="n">
        <v>46099.25783776621</v>
      </c>
      <c r="B8" s="6" t="inlineStr">
        <is>
          <t>Operations / Facility Staff</t>
        </is>
      </c>
      <c r="C8" s="6" t="inlineStr">
        <is>
          <t>IPDC Headquarters</t>
        </is>
      </c>
      <c r="D8" s="6" t="inlineStr">
        <is>
          <t>Laptop (Chrome  browser)</t>
        </is>
      </c>
      <c r="E8" s="6" t="inlineStr">
        <is>
          <t>More than 3 years</t>
        </is>
      </c>
      <c r="K8" s="6" t="inlineStr">
        <is>
          <t>Viewed the Approved Requests queue and accepted a task</t>
        </is>
      </c>
      <c r="L8" s="6" t="inlineStr">
        <is>
          <t>Browsed the dashboard while offline, Completed / updated a task while offline (Operations), Reviewed or processed a request while offline (Management), Logged out, then logged back in while offline using previously cached credentials, Received a sync confirmation banner when the network was restored</t>
        </is>
      </c>
      <c r="M8" s="6" t="n">
        <v>4</v>
      </c>
      <c r="N8" s="6" t="n">
        <v>1</v>
      </c>
      <c r="O8" s="6" t="n">
        <v>5</v>
      </c>
      <c r="P8" s="6" t="n">
        <v>1</v>
      </c>
      <c r="Q8" s="6" t="n">
        <v>5</v>
      </c>
      <c r="R8" s="6" t="n">
        <v>2</v>
      </c>
      <c r="S8" s="6" t="n">
        <v>5</v>
      </c>
      <c r="T8" s="6" t="n">
        <v>2</v>
      </c>
      <c r="U8" s="6" t="n">
        <v>5</v>
      </c>
      <c r="V8" s="6" t="n">
        <v>2</v>
      </c>
      <c r="W8" s="6" t="n">
        <v>5</v>
      </c>
      <c r="X8" s="6" t="inlineStr">
        <is>
          <t>Yes, it was always clear</t>
        </is>
      </c>
      <c r="Y8" s="6" t="inlineStr">
        <is>
          <t>the platform saves time, energy and manpower to accelerate the facility and solve the requests</t>
        </is>
      </c>
      <c r="Z8" s="48" t="inlineStr">
        <is>
          <t>no any</t>
        </is>
      </c>
      <c r="AA8" s="6" t="inlineStr">
        <is>
          <t>primarily enough to get into the access</t>
        </is>
      </c>
      <c r="AB8" s="6" t="inlineStr">
        <is>
          <t>for the future it should be open to upgrade when any updates and data to add</t>
        </is>
      </c>
    </row>
    <row r="9" ht="22.5" customHeight="1" s="54">
      <c r="A9" s="5" t="n">
        <v>46099.26724091435</v>
      </c>
      <c r="B9" s="6" t="inlineStr">
        <is>
          <t>Operations / Facility Staff</t>
        </is>
      </c>
      <c r="C9" s="6" t="inlineStr">
        <is>
          <t>IPDC Headquarters</t>
        </is>
      </c>
      <c r="D9" s="6" t="inlineStr">
        <is>
          <t>Desktop Computer (Chrome  browser)</t>
        </is>
      </c>
      <c r="E9" s="6" t="inlineStr">
        <is>
          <t>More than 3 years</t>
        </is>
      </c>
      <c r="K9" s="6" t="inlineStr">
        <is>
          <t>Viewed the Approved Requests queue and accepted a task, Completed an assigned task and confirmed token deduction, Reviewed completed task history</t>
        </is>
      </c>
      <c r="L9" s="6" t="inlineStr">
        <is>
          <t>Completed / updated a task while offline (Operations), Reviewed or processed a request while offline (Management)</t>
        </is>
      </c>
      <c r="M9" s="6" t="n">
        <v>5</v>
      </c>
      <c r="N9" s="6" t="n">
        <v>1</v>
      </c>
      <c r="O9" s="6" t="n">
        <v>5</v>
      </c>
      <c r="P9" s="6" t="n">
        <v>1</v>
      </c>
      <c r="Q9" s="6" t="n">
        <v>5</v>
      </c>
      <c r="R9" s="6" t="n">
        <v>2</v>
      </c>
      <c r="S9" s="6" t="n">
        <v>5</v>
      </c>
      <c r="T9" s="6" t="n">
        <v>2</v>
      </c>
      <c r="U9" s="6" t="n">
        <v>5</v>
      </c>
      <c r="V9" s="6" t="n">
        <v>2</v>
      </c>
      <c r="W9" s="6" t="n">
        <v>4</v>
      </c>
      <c r="X9" s="6" t="inlineStr">
        <is>
          <t>Yes, it was always clear</t>
        </is>
      </c>
      <c r="Y9" s="6" t="inlineStr">
        <is>
          <t>it is nice</t>
        </is>
      </c>
      <c r="Z9" s="48" t="inlineStr">
        <is>
          <t>nothing</t>
        </is>
      </c>
      <c r="AA9" s="48" t="inlineStr">
        <is>
          <t>Good enough for Prototype</t>
        </is>
      </c>
      <c r="AB9" s="6" t="inlineStr">
        <is>
          <t>just nice and impressing job,</t>
        </is>
      </c>
    </row>
    <row r="10" ht="22.5" customHeight="1" s="54">
      <c r="A10" s="5" t="n">
        <v>46099.2790071875</v>
      </c>
      <c r="B10" s="6" t="inlineStr">
        <is>
          <t>Tenant Company Representative</t>
        </is>
      </c>
      <c r="C10" s="6" t="inlineStr">
        <is>
          <t>Kilinto Special Economic Zone</t>
        </is>
      </c>
      <c r="D10" s="6" t="inlineStr">
        <is>
          <t>Smartphone (Opera  browser)</t>
        </is>
      </c>
      <c r="E10" s="6" t="inlineStr">
        <is>
          <t>Less than 1 year</t>
        </is>
      </c>
      <c r="F10" s="6" t="inlineStr">
        <is>
          <t>Droga Farm</t>
        </is>
      </c>
      <c r="G10" s="6" t="inlineStr">
        <is>
          <t>Local (Ethiopian) enterprise</t>
        </is>
      </c>
      <c r="H10" s="6" t="inlineStr">
        <is>
          <t>Pharmaceuticals</t>
        </is>
      </c>
      <c r="J10" s="6" t="inlineStr">
        <is>
          <t>Submitted a new service request, Checked token balance and transaction history, Filed a complaint on a completed service, Received and read an in-app bell notification</t>
        </is>
      </c>
      <c r="L10" s="6" t="inlineStr">
        <is>
          <t>Browsed the dashboard while offline, Submitted a service request while offline (Tenant), Completed / updated a task while offline (Operations), Reviewed or processed a request while offline (Management), Logged out, then logged back in while offline using previously cached credentials, Received a sync confirmation banner when the network was restored</t>
        </is>
      </c>
      <c r="M10" s="6" t="n">
        <v>4</v>
      </c>
      <c r="N10" s="6" t="n">
        <v>2</v>
      </c>
      <c r="O10" s="6" t="n">
        <v>5</v>
      </c>
      <c r="P10" s="6" t="n">
        <v>2</v>
      </c>
      <c r="Q10" s="6" t="n">
        <v>5</v>
      </c>
      <c r="R10" s="6" t="n">
        <v>2</v>
      </c>
      <c r="S10" s="6" t="n">
        <v>5</v>
      </c>
      <c r="T10" s="6" t="n">
        <v>2</v>
      </c>
      <c r="U10" s="6" t="n">
        <v>5</v>
      </c>
      <c r="V10" s="6" t="n">
        <v>2</v>
      </c>
      <c r="W10" s="6" t="n">
        <v>4</v>
      </c>
      <c r="X10" s="6" t="inlineStr">
        <is>
          <t>Yes, it was always clear</t>
        </is>
      </c>
      <c r="Y10" s="6" t="inlineStr">
        <is>
          <t>it leads IPDC and Tenants to make a clear and simple communication page, simplify the process, allocate the resources, create a good management, facilitate the requests by saving time, energy and cost</t>
        </is>
      </c>
      <c r="Z10" s="6" t="inlineStr">
        <is>
          <t>no for the time being</t>
        </is>
      </c>
      <c r="AA10" s="48" t="inlineStr">
        <is>
          <t>The home page cover can be more customized</t>
        </is>
      </c>
      <c r="AB10" s="6" t="n"/>
    </row>
    <row r="11" ht="22.5" customHeight="1" s="54">
      <c r="A11" s="5" t="n">
        <v>46099.30596916666</v>
      </c>
      <c r="B11" s="6" t="inlineStr">
        <is>
          <t>Operations / Facility Staff</t>
        </is>
      </c>
      <c r="C11" s="6" t="inlineStr">
        <is>
          <t>IPDC Headquarters</t>
        </is>
      </c>
      <c r="D11" s="48" t="inlineStr">
        <is>
          <t>Laptop (Chrome  browser)</t>
        </is>
      </c>
      <c r="E11" s="6" t="inlineStr">
        <is>
          <t>More than 3 years</t>
        </is>
      </c>
      <c r="K11" s="6" t="inlineStr">
        <is>
          <t>Completed an assigned task and confirmed token deduction</t>
        </is>
      </c>
      <c r="L11" s="6" t="inlineStr">
        <is>
          <t>Submitted a service request while offline (Tenant)</t>
        </is>
      </c>
      <c r="M11" s="6" t="n">
        <v>5</v>
      </c>
      <c r="N11" s="6" t="n">
        <v>2</v>
      </c>
      <c r="O11" s="6" t="n">
        <v>5</v>
      </c>
      <c r="P11" s="6" t="n">
        <v>2</v>
      </c>
      <c r="Q11" s="6" t="n">
        <v>4</v>
      </c>
      <c r="R11" s="6" t="n">
        <v>1</v>
      </c>
      <c r="S11" s="6" t="n">
        <v>4</v>
      </c>
      <c r="T11" s="6" t="n">
        <v>1</v>
      </c>
      <c r="U11" s="6" t="n">
        <v>5</v>
      </c>
      <c r="V11" s="6" t="n">
        <v>2</v>
      </c>
      <c r="W11" s="6" t="n">
        <v>4</v>
      </c>
      <c r="X11" s="6" t="inlineStr">
        <is>
          <t>Sometimes clear, sometimes not</t>
        </is>
      </c>
      <c r="Y11" s="48" t="inlineStr">
        <is>
          <t>for tenant and ipdc it is relevant</t>
        </is>
      </c>
      <c r="Z11" s="6" t="inlineStr">
        <is>
          <t>nothing</t>
        </is>
      </c>
      <c r="AA11" s="48" t="inlineStr">
        <is>
          <t>nothing for now</t>
        </is>
      </c>
      <c r="AB11" s="48" t="inlineStr">
        <is>
          <t>Upgrade this platform to production stage</t>
        </is>
      </c>
    </row>
    <row r="12" ht="22.5" customHeight="1" s="54">
      <c r="A12" s="5" t="n">
        <v>46099.30711689815</v>
      </c>
      <c r="B12" s="6" t="inlineStr">
        <is>
          <t>Operations / Facility Staff</t>
        </is>
      </c>
      <c r="C12" s="6" t="inlineStr">
        <is>
          <t>IPDC Headquarters</t>
        </is>
      </c>
      <c r="D12" s="6" t="inlineStr">
        <is>
          <t>Laptop (Chrome  browser)</t>
        </is>
      </c>
      <c r="E12" s="6" t="inlineStr">
        <is>
          <t>More than 3 years</t>
        </is>
      </c>
      <c r="K12" s="6" t="inlineStr">
        <is>
          <t>Completed an assigned task and confirmed token deduction</t>
        </is>
      </c>
      <c r="L12" s="6" t="inlineStr">
        <is>
          <t>Completed / updated a task while offline (Operations)</t>
        </is>
      </c>
      <c r="M12" s="6" t="n">
        <v>4</v>
      </c>
      <c r="N12" s="6" t="n">
        <v>1</v>
      </c>
      <c r="O12" s="6" t="n">
        <v>5</v>
      </c>
      <c r="P12" s="6" t="n">
        <v>1</v>
      </c>
      <c r="Q12" s="6" t="n">
        <v>4</v>
      </c>
      <c r="R12" s="6" t="n">
        <v>2</v>
      </c>
      <c r="S12" s="6" t="n">
        <v>4</v>
      </c>
      <c r="T12" s="6" t="n">
        <v>2</v>
      </c>
      <c r="U12" s="6" t="n">
        <v>4</v>
      </c>
      <c r="V12" s="6" t="n">
        <v>1</v>
      </c>
      <c r="W12" s="6" t="n">
        <v>4</v>
      </c>
      <c r="X12" s="6" t="inlineStr">
        <is>
          <t>Yes, it was always clear</t>
        </is>
      </c>
      <c r="Y12" s="6" t="inlineStr">
        <is>
          <t>Important points are incorporated in the platform.</t>
        </is>
      </c>
      <c r="Z12" s="6" t="inlineStr">
        <is>
          <t>There is no frustrating part.</t>
        </is>
      </c>
      <c r="AA12" s="48" t="inlineStr">
        <is>
          <t>I am ok with existing.</t>
        </is>
      </c>
    </row>
    <row r="13" ht="22.5" customHeight="1" s="54">
      <c r="A13" s="5" t="n">
        <v>46103.97938486111</v>
      </c>
      <c r="B13" s="6" t="inlineStr">
        <is>
          <t>Tenant Company Representative</t>
        </is>
      </c>
      <c r="C13" s="6" t="inlineStr">
        <is>
          <t>Kilinto Special Economic Zone</t>
        </is>
      </c>
      <c r="D13" s="48" t="inlineStr">
        <is>
          <t>Smartphone (Chrome  browser)</t>
        </is>
      </c>
      <c r="E13" s="6" t="inlineStr">
        <is>
          <t>1–3 years</t>
        </is>
      </c>
      <c r="F13" s="6" t="inlineStr">
        <is>
          <t>Glocare/TKBD Plc</t>
        </is>
      </c>
      <c r="G13" s="6" t="inlineStr">
        <is>
          <t>Foreign-invested enterprise</t>
        </is>
      </c>
      <c r="H13" s="6" t="inlineStr">
        <is>
          <t>Pharmaceuticals</t>
        </is>
      </c>
      <c r="J13" s="6" t="inlineStr">
        <is>
          <t>Submitted a new service request, Filed a complaint on a completed service</t>
        </is>
      </c>
      <c r="L13" s="6" t="inlineStr">
        <is>
          <t>Browsed the dashboard while offline, Submitted a service request while offline (Tenant), Logged out, then logged back in while offline using previously cached credentials, Received a sync confirmation banner when the network was restored</t>
        </is>
      </c>
      <c r="M13" s="6" t="n">
        <v>4</v>
      </c>
      <c r="N13" s="6" t="n">
        <v>1</v>
      </c>
      <c r="O13" s="6" t="n">
        <v>5</v>
      </c>
      <c r="P13" s="6" t="n">
        <v>2</v>
      </c>
      <c r="Q13" s="6" t="n">
        <v>5</v>
      </c>
      <c r="R13" s="6" t="n">
        <v>2</v>
      </c>
      <c r="S13" s="6" t="n">
        <v>4</v>
      </c>
      <c r="T13" s="6" t="n">
        <v>1</v>
      </c>
      <c r="U13" s="6" t="n">
        <v>4</v>
      </c>
      <c r="V13" s="6" t="n">
        <v>2</v>
      </c>
      <c r="W13" s="6" t="n">
        <v>4</v>
      </c>
      <c r="X13" s="6" t="inlineStr">
        <is>
          <t>Yes, it was always clear</t>
        </is>
      </c>
      <c r="Y13" s="6" t="inlineStr">
        <is>
          <t>The offline access</t>
        </is>
      </c>
      <c r="Z13" s="6" t="inlineStr">
        <is>
          <t>It was not confusing</t>
        </is>
      </c>
      <c r="AA13" s="6" t="inlineStr">
        <is>
          <t>May be if it is in the production stage will be more valuable</t>
        </is>
      </c>
      <c r="AB13" s="6" t="inlineStr">
        <is>
          <t>It's enough for a prototype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:D1"/>
    </sheetView>
  </sheetViews>
  <sheetFormatPr baseColWidth="8" defaultColWidth="14.453125" defaultRowHeight="15" customHeight="1"/>
  <cols>
    <col width="4" customWidth="1" style="54" min="1" max="1"/>
    <col width="28" customWidth="1" style="54" min="2" max="2"/>
    <col width="70" customWidth="1" style="54" min="3" max="3"/>
    <col width="20" customWidth="1" style="54" min="4" max="4"/>
    <col width="8.7265625" customWidth="1" style="54" min="5" max="26"/>
  </cols>
  <sheetData>
    <row r="1" ht="36" customHeight="1" s="54">
      <c r="A1" s="72" t="inlineStr">
        <is>
          <t>IPDC-OSS Platform — System Usability Scale (SUS) Evaluation Workbook</t>
        </is>
      </c>
    </row>
    <row r="2" ht="24" customHeight="1" s="54">
      <c r="A2" s="73" t="inlineStr">
        <is>
          <t>Usability Evaluation — 10 February 2026 | 9 Participants | Chapter 5</t>
        </is>
      </c>
    </row>
    <row r="4" ht="14.5" customHeight="1" s="54">
      <c r="A4" s="74" t="inlineStr">
        <is>
          <t>PURPOSE</t>
        </is>
      </c>
    </row>
    <row r="5" ht="48" customHeight="1" s="54">
      <c r="A5" s="75" t="inlineStr">
        <is>
          <t>This workbook is the official data collection and calculation instrument for the SUS usability evaluation of the IPDC Digital One-Stop-Service (OSS) platform prototype. It accompanies the thesis: 'Design and Development of a Digital One-Stop-Service Platform for Industrial Parks in Ethiopia'.</t>
        </is>
      </c>
    </row>
    <row r="7" ht="14.5" customHeight="1" s="54">
      <c r="A7" s="74" t="inlineStr">
        <is>
          <t>WORKBOOK STRUCTURE</t>
        </is>
      </c>
    </row>
    <row r="8" ht="18" customHeight="1" s="54">
      <c r="B8" s="7" t="inlineStr">
        <is>
          <t>Instructions</t>
        </is>
      </c>
      <c r="C8" s="76" t="inlineStr">
        <is>
          <t>This sheet — purpose, SUS formula, scoring guide, role-differentiated task scenarios</t>
        </is>
      </c>
      <c r="D8" s="77" t="n"/>
    </row>
    <row r="9" ht="18" customHeight="1" s="54">
      <c r="B9" s="7" t="inlineStr">
        <is>
          <t>Participant Profiles</t>
        </is>
      </c>
      <c r="C9" s="76" t="inlineStr">
        <is>
          <t>P1–P9 roles, parks, devices, and tenant company profile (investment type, sector)</t>
        </is>
      </c>
      <c r="D9" s="77" t="n"/>
    </row>
    <row r="10" ht="18" customHeight="1" s="54">
      <c r="B10" s="7" t="inlineStr">
        <is>
          <t>SUS Raw Responses</t>
        </is>
      </c>
      <c r="C10" s="76" t="inlineStr">
        <is>
          <t>Raw 1–5 ratings for all 10 SUS items from each participant — FILL THIS IN</t>
        </is>
      </c>
      <c r="D10" s="77" t="n"/>
    </row>
    <row r="11" ht="18" customHeight="1" s="54">
      <c r="B11" s="7" t="inlineStr">
        <is>
          <t>SUS Score Calculation</t>
        </is>
      </c>
      <c r="C11" s="76" t="inlineStr">
        <is>
          <t>Auto-calculated converted scores and final SUS score per participant</t>
        </is>
      </c>
      <c r="D11" s="77" t="n"/>
    </row>
    <row r="12" ht="18" customHeight="1" s="54">
      <c r="B12" s="7" t="inlineStr">
        <is>
          <t>Summary &amp; Results</t>
        </is>
      </c>
      <c r="C12" s="76" t="inlineStr">
        <is>
          <t>Final scores, mean, interpretation, grade, and bar chart</t>
        </is>
      </c>
      <c r="D12" s="77" t="n"/>
    </row>
    <row r="13" ht="18" customHeight="1" s="54">
      <c r="B13" s="7" t="inlineStr">
        <is>
          <t>Offline Experience</t>
        </is>
      </c>
      <c r="C13" s="76" t="inlineStr">
        <is>
          <t>Supplementary Q8b/Q19/Q20 responses — offline tasks attempted, confidence score, clarity</t>
        </is>
      </c>
      <c r="D13" s="77" t="n"/>
    </row>
    <row r="15" ht="14.5" customHeight="1" s="54">
      <c r="A15" s="74" t="inlineStr">
        <is>
          <t>SUS SCORING FORMULA</t>
        </is>
      </c>
    </row>
    <row r="16" ht="18" customHeight="1" s="54">
      <c r="B16" s="8" t="inlineStr">
        <is>
          <t>Odd items — Positive (Q1,Q3,Q5,Q7,Q9):</t>
        </is>
      </c>
      <c r="C16" s="78" t="inlineStr">
        <is>
          <t>Converted score  =  Raw response  −  1</t>
        </is>
      </c>
      <c r="D16" s="77" t="n"/>
    </row>
    <row r="17" ht="18" customHeight="1" s="54">
      <c r="B17" s="8" t="inlineStr">
        <is>
          <t>Even items — Negative (Q2,Q4,Q6,Q8,Q10):</t>
        </is>
      </c>
      <c r="C17" s="78" t="inlineStr">
        <is>
          <t>Converted score  =  5  −  Raw response</t>
        </is>
      </c>
      <c r="D17" s="77" t="n"/>
    </row>
    <row r="18" ht="18" customHeight="1" s="54">
      <c r="B18" s="8" t="inlineStr">
        <is>
          <t>SUS Score:</t>
        </is>
      </c>
      <c r="C18" s="78" t="inlineStr">
        <is>
          <t>Sum of all 10 converted scores  ×  2.5</t>
        </is>
      </c>
      <c r="D18" s="77" t="n"/>
    </row>
    <row r="19" ht="18" customHeight="1" s="54">
      <c r="B19" s="8" t="inlineStr">
        <is>
          <t>Scale:</t>
        </is>
      </c>
      <c r="C19" s="78" t="inlineStr">
        <is>
          <t>0 (worst)  →  100 (best)</t>
        </is>
      </c>
      <c r="D19" s="77" t="n"/>
    </row>
    <row r="21" ht="15.75" customHeight="1" s="54">
      <c r="A21" s="74" t="inlineStr">
        <is>
          <t>SUS SCORE INTERPRETATION (Bangor et al. / Sauro)</t>
        </is>
      </c>
    </row>
    <row r="22" ht="15.75" customHeight="1" s="54">
      <c r="B22" s="9" t="inlineStr">
        <is>
          <t>&gt; 85.5</t>
        </is>
      </c>
      <c r="C22" s="10" t="inlineStr">
        <is>
          <t>A</t>
        </is>
      </c>
      <c r="D22" s="9" t="inlineStr">
        <is>
          <t>Excellent</t>
        </is>
      </c>
    </row>
    <row r="23" ht="15.75" customHeight="1" s="54">
      <c r="B23" s="11" t="inlineStr">
        <is>
          <t>72.6 – 85.5</t>
        </is>
      </c>
      <c r="C23" s="12" t="inlineStr">
        <is>
          <t>B</t>
        </is>
      </c>
      <c r="D23" s="11" t="inlineStr">
        <is>
          <t>Good</t>
        </is>
      </c>
    </row>
    <row r="24" ht="15.75" customHeight="1" s="54">
      <c r="B24" s="13" t="inlineStr">
        <is>
          <t>52.0 – 72.5</t>
        </is>
      </c>
      <c r="C24" s="14" t="inlineStr">
        <is>
          <t>C</t>
        </is>
      </c>
      <c r="D24" s="13" t="inlineStr">
        <is>
          <t>OK</t>
        </is>
      </c>
    </row>
    <row r="25" ht="15.75" customHeight="1" s="54">
      <c r="B25" s="15" t="inlineStr">
        <is>
          <t>51.7 – 51.9</t>
        </is>
      </c>
      <c r="C25" s="16" t="inlineStr">
        <is>
          <t>D</t>
        </is>
      </c>
      <c r="D25" s="15" t="inlineStr">
        <is>
          <t>Poor</t>
        </is>
      </c>
    </row>
    <row r="26" ht="15.75" customHeight="1" s="54">
      <c r="B26" s="17" t="inlineStr">
        <is>
          <t>&lt; 51.6</t>
        </is>
      </c>
      <c r="C26" s="18" t="inlineStr">
        <is>
          <t>F</t>
        </is>
      </c>
      <c r="D26" s="17" t="inlineStr">
        <is>
          <t>Awful</t>
        </is>
      </c>
    </row>
    <row r="27" ht="15.75" customHeight="1" s="54"/>
    <row r="28" ht="15.75" customHeight="1" s="54">
      <c r="A28" s="74" t="inlineStr">
        <is>
          <t>TASK SCENARIOS ADMINISTERED TO PARTICIPANTS</t>
        </is>
      </c>
    </row>
    <row r="29" ht="30" customHeight="1" s="54">
      <c r="B29" s="19" t="inlineStr">
        <is>
          <t>Task M1</t>
        </is>
      </c>
      <c r="C29" s="20" t="inlineStr">
        <is>
          <t>[Management] Review and process a service request</t>
        </is>
      </c>
      <c r="D29" s="21" t="inlineStr">
        <is>
          <t>Log in as Admin, open a pending service request, review the details, and approve or reject it with a stated reason.</t>
        </is>
      </c>
    </row>
    <row r="30" ht="30" customHeight="1" s="54">
      <c r="B30" s="19" t="inlineStr">
        <is>
          <t>Task M2</t>
        </is>
      </c>
      <c r="C30" s="20" t="inlineStr">
        <is>
          <t>[Management] Resolve a tenant complaint</t>
        </is>
      </c>
      <c r="D30" s="21" t="inlineStr">
        <is>
          <t>Navigate to Complaint Management, open a pending complaint, select a resolution action, add resolution notes, and confirm.</t>
        </is>
      </c>
    </row>
    <row r="31" ht="30" customHeight="1" s="54">
      <c r="B31" s="19" t="inlineStr">
        <is>
          <t>Task M3</t>
        </is>
      </c>
      <c r="C31" s="20" t="inlineStr">
        <is>
          <t>[Management] Publish a park-wide announcement</t>
        </is>
      </c>
      <c r="D31" s="21" t="inlineStr">
        <is>
          <t>Create a new announcement with a title, body text, and priority level, then publish it to all park users.</t>
        </is>
      </c>
    </row>
    <row r="32" ht="30" customHeight="1" s="54">
      <c r="B32" s="19" t="inlineStr">
        <is>
          <t>Task M4</t>
        </is>
      </c>
      <c r="C32" s="20" t="inlineStr">
        <is>
          <t>[Management] View request analytics dashboard</t>
        </is>
      </c>
      <c r="D32" s="21" t="inlineStr">
        <is>
          <t>Navigate to the admin dashboard and review the summary statistics, request counts by status, and charts.</t>
        </is>
      </c>
    </row>
    <row r="33" ht="30" customHeight="1" s="54">
      <c r="B33" s="19" t="inlineStr">
        <is>
          <t>Task T1</t>
        </is>
      </c>
      <c r="C33" s="20" t="inlineStr">
        <is>
          <t>[Tenant] Submit a new service request</t>
        </is>
      </c>
      <c r="D33" s="21" t="inlineStr">
        <is>
          <t>Log in as Tenant, select a service category, fill in the request details and priority, attach a document if available, and submit.</t>
        </is>
      </c>
    </row>
    <row r="34" ht="30" customHeight="1" s="54">
      <c r="B34" s="19" t="inlineStr">
        <is>
          <t>Task T2</t>
        </is>
      </c>
      <c r="C34" s="20" t="inlineStr">
        <is>
          <t>[Tenant] Check token balance and transaction history</t>
        </is>
      </c>
      <c r="D34" s="21" t="inlineStr">
        <is>
          <t>Locate the token section on the dashboard and review the current balance and the list of past transactions.</t>
        </is>
      </c>
    </row>
    <row r="35" ht="30" customHeight="1" s="54">
      <c r="B35" s="19" t="inlineStr">
        <is>
          <t>Task T3</t>
        </is>
      </c>
      <c r="C35" s="20" t="inlineStr">
        <is>
          <t>[Tenant] File a complaint on a completed service</t>
        </is>
      </c>
      <c r="D35" s="21" t="inlineStr">
        <is>
          <t>Navigate to My Complaints, select a completed request, choose a complaint category and severity, describe the issue, and submit.</t>
        </is>
      </c>
    </row>
    <row r="36" ht="30" customHeight="1" s="54">
      <c r="B36" s="19" t="inlineStr">
        <is>
          <t>Task T4</t>
        </is>
      </c>
      <c r="C36" s="20" t="inlineStr">
        <is>
          <t>[Tenant] Read an in-app bell notification</t>
        </is>
      </c>
      <c r="D36" s="21" t="inlineStr">
        <is>
          <t>Click the notification bell icon, open an unread notification, and confirm the message content.</t>
        </is>
      </c>
    </row>
    <row r="37" ht="30" customHeight="1" s="54">
      <c r="B37" s="19" t="inlineStr">
        <is>
          <t>Task O1</t>
        </is>
      </c>
      <c r="C37" s="20" t="inlineStr">
        <is>
          <t>[Operations] Accept a task from the approved queue</t>
        </is>
      </c>
      <c r="D37" s="21" t="inlineStr">
        <is>
          <t>Log in as Operations Staff, open the Approved Requests tab, select a request, and mark it as In Progress.</t>
        </is>
      </c>
    </row>
    <row r="38" ht="30" customHeight="1" s="54">
      <c r="B38" s="19" t="inlineStr">
        <is>
          <t>Task O2</t>
        </is>
      </c>
      <c r="C38" s="20" t="inlineStr">
        <is>
          <t>[Operations] Complete a task and confirm token deduction</t>
        </is>
      </c>
      <c r="D38" s="21" t="inlineStr">
        <is>
          <t>Mark an in-progress task as completed, confirm the token amount to deduct from the tenant, and submit.</t>
        </is>
      </c>
    </row>
    <row r="39" ht="30" customHeight="1" s="54">
      <c r="B39" s="19" t="inlineStr">
        <is>
          <t>Task O3</t>
        </is>
      </c>
      <c r="C39" s="20" t="inlineStr">
        <is>
          <t>[Operations] Review completed task history</t>
        </is>
      </c>
      <c r="D39" s="21" t="inlineStr">
        <is>
          <t>Navigate to the Completed tab and review the list of previously fulfilled tasks.</t>
        </is>
      </c>
    </row>
    <row r="40" ht="30" customHeight="1" s="54">
      <c r="B40" s="19" t="inlineStr">
        <is>
          <t>Task O4</t>
        </is>
      </c>
      <c r="C40" s="20" t="inlineStr">
        <is>
          <t>[Operations] Read a park announcement</t>
        </is>
      </c>
      <c r="D40" s="21" t="inlineStr">
        <is>
          <t>Open the Announcements tab in the Operations dashboard and read the latest park-wide notice.</t>
        </is>
      </c>
    </row>
    <row r="41" ht="30" customHeight="1" s="54">
      <c r="B41" s="19" t="inlineStr">
        <is>
          <t>Task X1</t>
        </is>
      </c>
      <c r="C41" s="20" t="inlineStr">
        <is>
          <t>[All Roles] Browse dashboard while offline</t>
        </is>
      </c>
      <c r="D41" s="21" t="inlineStr">
        <is>
          <t>Facilitator enables airplane mode. Participant navigates the dashboard and confirms data is still visible.</t>
        </is>
      </c>
    </row>
    <row r="42" ht="30" customHeight="1" s="54">
      <c r="B42" s="19" t="inlineStr">
        <is>
          <t>Task X2</t>
        </is>
      </c>
      <c r="C42" s="20" t="inlineStr">
        <is>
          <t>[All Roles] Submit a request or action while offline</t>
        </is>
      </c>
      <c r="D42" s="21" t="inlineStr">
        <is>
          <t>While offline, perform a key action (submit request / complete task). Confirm the item queues locally.</t>
        </is>
      </c>
    </row>
    <row r="43" ht="30" customHeight="1" s="54">
      <c r="B43" s="19" t="inlineStr">
        <is>
          <t>Task X3</t>
        </is>
      </c>
      <c r="C43" s="20" t="inlineStr">
        <is>
          <t>[All Roles] Offline re-login with cached credentials</t>
        </is>
      </c>
      <c r="D43" s="21" t="inlineStr">
        <is>
          <t>While offline, log out then log back in using the same credentials. Confirm the system authenticates from cache.</t>
        </is>
      </c>
    </row>
    <row r="44" ht="30" customHeight="1" s="54">
      <c r="B44" s="19" t="inlineStr">
        <is>
          <t>Task X4</t>
        </is>
      </c>
      <c r="C44" s="20" t="inlineStr">
        <is>
          <t>[All Roles] Sync confirmation on reconnection</t>
        </is>
      </c>
      <c r="D44" s="21" t="inlineStr">
        <is>
          <t>Facilitator restores network. Participant confirms the sync banner appears and queued items are uploaded.</t>
        </is>
      </c>
    </row>
    <row r="45" ht="15.75" customHeight="1" s="54"/>
    <row r="46" ht="36" customHeight="1" s="54">
      <c r="A46" s="79" t="inlineStr">
        <is>
          <t>⚠  IMPORTANT: Enter REAL participant responses in the 'SUS Raw Responses' sheet. All SUS scores in the thesis must reflect actual collected data. Scores in 'SUS Score Calculation' and 'Summary &amp; Results' update automatically.</t>
        </is>
      </c>
      <c r="B46" s="80" t="n"/>
      <c r="C46" s="80" t="n"/>
      <c r="D46" s="77" t="n"/>
    </row>
    <row r="47" ht="15.75" customHeight="1" s="54"/>
    <row r="48" ht="15.75" customHeight="1" s="54"/>
    <row r="49" ht="15.75" customHeight="1" s="54"/>
    <row r="50" ht="15.75" customHeight="1" s="54"/>
    <row r="51" ht="15.75" customHeight="1" s="54"/>
    <row r="52" ht="15.75" customHeight="1" s="54"/>
    <row r="53" ht="15.75" customHeight="1" s="54"/>
    <row r="54" ht="15.75" customHeight="1" s="54"/>
    <row r="55" ht="15.75" customHeight="1" s="54"/>
    <row r="56" ht="15.75" customHeight="1" s="54"/>
    <row r="57" ht="15.75" customHeight="1" s="54"/>
    <row r="58" ht="15.75" customHeight="1" s="54"/>
    <row r="59" ht="15.75" customHeight="1" s="54"/>
    <row r="60" ht="15.75" customHeight="1" s="54"/>
    <row r="61" ht="15.75" customHeight="1" s="54"/>
    <row r="62" ht="15.75" customHeight="1" s="54"/>
    <row r="63" ht="15.75" customHeight="1" s="54"/>
    <row r="64" ht="15.75" customHeight="1" s="54"/>
    <row r="65" ht="15.75" customHeight="1" s="54"/>
    <row r="66" ht="15.75" customHeight="1" s="54"/>
    <row r="67" ht="15.75" customHeight="1" s="54"/>
    <row r="68" ht="15.75" customHeight="1" s="54"/>
    <row r="69" ht="15.75" customHeight="1" s="54"/>
    <row r="70" ht="15.75" customHeight="1" s="54"/>
    <row r="71" ht="15.75" customHeight="1" s="54"/>
    <row r="72" ht="15.75" customHeight="1" s="54"/>
    <row r="73" ht="15.75" customHeight="1" s="54"/>
    <row r="74" ht="15.75" customHeight="1" s="54"/>
    <row r="75" ht="15.75" customHeight="1" s="54"/>
    <row r="76" ht="15.75" customHeight="1" s="54"/>
    <row r="77" ht="15.75" customHeight="1" s="54"/>
    <row r="78" ht="15.75" customHeight="1" s="54"/>
    <row r="79" ht="15.75" customHeight="1" s="54"/>
    <row r="80" ht="15.75" customHeight="1" s="54"/>
    <row r="81" ht="15.75" customHeight="1" s="54"/>
    <row r="82" ht="15.75" customHeight="1" s="54"/>
    <row r="83" ht="15.75" customHeight="1" s="54"/>
    <row r="84" ht="15.75" customHeight="1" s="54"/>
    <row r="85" ht="15.75" customHeight="1" s="54"/>
    <row r="86" ht="15.75" customHeight="1" s="54"/>
    <row r="87" ht="15.75" customHeight="1" s="54"/>
    <row r="88" ht="15.75" customHeight="1" s="54"/>
    <row r="89" ht="15.75" customHeight="1" s="54"/>
    <row r="90" ht="15.75" customHeight="1" s="54"/>
    <row r="91" ht="15.75" customHeight="1" s="54"/>
    <row r="92" ht="15.75" customHeight="1" s="54"/>
    <row r="93" ht="15.75" customHeight="1" s="54"/>
    <row r="94" ht="15.75" customHeight="1" s="54"/>
    <row r="95" ht="15.75" customHeight="1" s="54"/>
    <row r="96" ht="15.75" customHeight="1" s="54"/>
    <row r="97" ht="15.75" customHeight="1" s="54"/>
    <row r="98" ht="15.75" customHeight="1" s="54"/>
    <row r="99" ht="15.75" customHeight="1" s="54"/>
    <row r="100" ht="15.75" customHeight="1" s="54"/>
    <row r="101" ht="15.75" customHeight="1" s="54"/>
    <row r="102" ht="15.75" customHeight="1" s="54"/>
    <row r="103" ht="15.75" customHeight="1" s="54"/>
    <row r="104" ht="15.75" customHeight="1" s="54"/>
    <row r="105" ht="15.75" customHeight="1" s="54"/>
    <row r="106" ht="15.75" customHeight="1" s="54"/>
    <row r="107" ht="15.75" customHeight="1" s="54"/>
    <row r="108" ht="15.75" customHeight="1" s="54"/>
    <row r="109" ht="15.75" customHeight="1" s="54"/>
    <row r="110" ht="15.75" customHeight="1" s="54"/>
    <row r="111" ht="15.75" customHeight="1" s="54"/>
    <row r="112" ht="15.75" customHeight="1" s="54"/>
    <row r="113" ht="15.75" customHeight="1" s="54"/>
    <row r="114" ht="15.75" customHeight="1" s="54"/>
    <row r="115" ht="15.75" customHeight="1" s="54"/>
    <row r="116" ht="15.75" customHeight="1" s="54"/>
    <row r="117" ht="15.75" customHeight="1" s="54"/>
    <row r="118" ht="15.75" customHeight="1" s="54"/>
    <row r="119" ht="15.75" customHeight="1" s="54"/>
    <row r="120" ht="15.75" customHeight="1" s="54"/>
    <row r="121" ht="15.75" customHeight="1" s="54"/>
    <row r="122" ht="15.75" customHeight="1" s="54"/>
    <row r="123" ht="15.75" customHeight="1" s="54"/>
    <row r="124" ht="15.75" customHeight="1" s="54"/>
    <row r="125" ht="15.75" customHeight="1" s="54"/>
    <row r="126" ht="15.75" customHeight="1" s="54"/>
    <row r="127" ht="15.75" customHeight="1" s="54"/>
    <row r="128" ht="15.75" customHeight="1" s="54"/>
    <row r="129" ht="15.75" customHeight="1" s="54"/>
    <row r="130" ht="15.75" customHeight="1" s="54"/>
    <row r="131" ht="15.75" customHeight="1" s="54"/>
    <row r="132" ht="15.75" customHeight="1" s="54"/>
    <row r="133" ht="15.75" customHeight="1" s="54"/>
    <row r="134" ht="15.75" customHeight="1" s="54"/>
    <row r="135" ht="15.75" customHeight="1" s="54"/>
    <row r="136" ht="15.75" customHeight="1" s="54"/>
    <row r="137" ht="15.75" customHeight="1" s="54"/>
    <row r="138" ht="15.75" customHeight="1" s="54"/>
    <row r="139" ht="15.75" customHeight="1" s="54"/>
    <row r="140" ht="15.75" customHeight="1" s="54"/>
    <row r="141" ht="15.75" customHeight="1" s="54"/>
    <row r="142" ht="15.75" customHeight="1" s="54"/>
    <row r="143" ht="15.75" customHeight="1" s="54"/>
    <row r="144" ht="15.75" customHeight="1" s="54"/>
    <row r="145" ht="15.75" customHeight="1" s="54"/>
    <row r="146" ht="15.75" customHeight="1" s="54"/>
    <row r="147" ht="15.75" customHeight="1" s="54"/>
    <row r="148" ht="15.75" customHeight="1" s="54"/>
    <row r="149" ht="15.75" customHeight="1" s="54"/>
    <row r="150" ht="15.75" customHeight="1" s="54"/>
    <row r="151" ht="15.75" customHeight="1" s="54"/>
    <row r="152" ht="15.75" customHeight="1" s="54"/>
    <row r="153" ht="15.75" customHeight="1" s="54"/>
    <row r="154" ht="15.75" customHeight="1" s="54"/>
    <row r="155" ht="15.75" customHeight="1" s="54"/>
    <row r="156" ht="15.75" customHeight="1" s="54"/>
    <row r="157" ht="15.75" customHeight="1" s="54"/>
    <row r="158" ht="15.75" customHeight="1" s="54"/>
    <row r="159" ht="15.75" customHeight="1" s="54"/>
    <row r="160" ht="15.75" customHeight="1" s="54"/>
    <row r="161" ht="15.75" customHeight="1" s="54"/>
    <row r="162" ht="15.75" customHeight="1" s="54"/>
    <row r="163" ht="15.75" customHeight="1" s="54"/>
    <row r="164" ht="15.75" customHeight="1" s="54"/>
    <row r="165" ht="15.75" customHeight="1" s="54"/>
    <row r="166" ht="15.75" customHeight="1" s="54"/>
    <row r="167" ht="15.75" customHeight="1" s="54"/>
    <row r="168" ht="15.75" customHeight="1" s="54"/>
    <row r="169" ht="15.75" customHeight="1" s="54"/>
    <row r="170" ht="15.75" customHeight="1" s="54"/>
    <row r="171" ht="15.75" customHeight="1" s="54"/>
    <row r="172" ht="15.75" customHeight="1" s="54"/>
    <row r="173" ht="15.75" customHeight="1" s="54"/>
    <row r="174" ht="15.75" customHeight="1" s="54"/>
    <row r="175" ht="15.75" customHeight="1" s="54"/>
    <row r="176" ht="15.75" customHeight="1" s="54"/>
    <row r="177" ht="15.75" customHeight="1" s="54"/>
    <row r="178" ht="15.75" customHeight="1" s="54"/>
    <row r="179" ht="15.75" customHeight="1" s="54"/>
    <row r="180" ht="15.75" customHeight="1" s="54"/>
    <row r="181" ht="15.75" customHeight="1" s="54"/>
    <row r="182" ht="15.75" customHeight="1" s="54"/>
    <row r="183" ht="15.75" customHeight="1" s="54"/>
    <row r="184" ht="15.75" customHeight="1" s="54"/>
    <row r="185" ht="15.75" customHeight="1" s="54"/>
    <row r="186" ht="15.75" customHeight="1" s="54"/>
    <row r="187" ht="15.75" customHeight="1" s="54"/>
    <row r="188" ht="15.75" customHeight="1" s="54"/>
    <row r="189" ht="15.75" customHeight="1" s="54"/>
    <row r="190" ht="15.75" customHeight="1" s="54"/>
    <row r="191" ht="15.75" customHeight="1" s="54"/>
    <row r="192" ht="15.75" customHeight="1" s="54"/>
    <row r="193" ht="15.75" customHeight="1" s="54"/>
    <row r="194" ht="15.75" customHeight="1" s="54"/>
    <row r="195" ht="15.75" customHeight="1" s="54"/>
    <row r="196" ht="15.75" customHeight="1" s="54"/>
    <row r="197" ht="15.75" customHeight="1" s="54"/>
    <row r="198" ht="15.75" customHeight="1" s="54"/>
    <row r="199" ht="15.75" customHeight="1" s="54"/>
    <row r="200" ht="15.75" customHeight="1" s="54"/>
    <row r="201" ht="15.75" customHeight="1" s="54"/>
    <row r="202" ht="15.75" customHeight="1" s="54"/>
    <row r="203" ht="15.75" customHeight="1" s="54"/>
    <row r="204" ht="15.75" customHeight="1" s="54"/>
    <row r="205" ht="15.75" customHeight="1" s="54"/>
    <row r="206" ht="15.75" customHeight="1" s="54"/>
    <row r="207" ht="15.75" customHeight="1" s="54"/>
    <row r="208" ht="15.75" customHeight="1" s="54"/>
    <row r="209" ht="15.75" customHeight="1" s="54"/>
    <row r="210" ht="15.75" customHeight="1" s="54"/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19">
    <mergeCell ref="A5:D5"/>
    <mergeCell ref="A4:D4"/>
    <mergeCell ref="A28:D28"/>
    <mergeCell ref="C10:D10"/>
    <mergeCell ref="C16:D16"/>
    <mergeCell ref="A15:D15"/>
    <mergeCell ref="C9:D9"/>
    <mergeCell ref="A1:D1"/>
    <mergeCell ref="C12:D12"/>
    <mergeCell ref="C11:D11"/>
    <mergeCell ref="A7:D7"/>
    <mergeCell ref="C17:D17"/>
    <mergeCell ref="A46:D46"/>
    <mergeCell ref="C8:D8"/>
    <mergeCell ref="C19:D19"/>
    <mergeCell ref="A21:D21"/>
    <mergeCell ref="C13:D13"/>
    <mergeCell ref="A2:D2"/>
    <mergeCell ref="C18:D18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ColWidth="14.453125" defaultRowHeight="15" customHeight="1"/>
  <cols>
    <col width="6" customWidth="1" style="54" min="1" max="1"/>
    <col width="8" customWidth="1" style="54" min="2" max="2"/>
    <col width="28" customWidth="1" style="54" min="3" max="3"/>
    <col width="22" customWidth="1" style="54" min="4" max="4"/>
    <col width="20" customWidth="1" style="54" min="5" max="5"/>
    <col width="16" customWidth="1" style="54" min="6" max="6"/>
    <col width="20" customWidth="1" style="54" min="7" max="8"/>
    <col width="8.7265625" customWidth="1" style="54" min="9" max="26"/>
  </cols>
  <sheetData>
    <row r="1" ht="31.5" customHeight="1" s="54">
      <c r="A1" s="81" t="inlineStr">
        <is>
          <t>Usability Evaluation — Participant Profiles (9–18 March 2026 | 12 Participants | Chapter 5)</t>
        </is>
      </c>
    </row>
    <row r="2" ht="19.5" customHeight="1" s="54">
      <c r="A2" s="22" t="inlineStr">
        <is>
          <t>#</t>
        </is>
      </c>
      <c r="B2" s="22" t="inlineStr">
        <is>
          <t>ID</t>
        </is>
      </c>
      <c r="C2" s="22" t="inlineStr">
        <is>
          <t>Role</t>
        </is>
      </c>
      <c r="D2" s="22" t="inlineStr">
        <is>
          <t>Industrial Park / SEZ</t>
        </is>
      </c>
      <c r="E2" s="22" t="inlineStr">
        <is>
          <t>Device Used</t>
        </is>
      </c>
      <c r="F2" s="22" t="inlineStr">
        <is>
          <t>Date</t>
        </is>
      </c>
      <c r="G2" s="22" t="inlineStr">
        <is>
          <t>Investment Type *</t>
        </is>
      </c>
      <c r="H2" s="22" t="inlineStr">
        <is>
          <t>Industry Sector *</t>
        </is>
      </c>
    </row>
    <row r="3" ht="18" customHeight="1" s="54">
      <c r="A3" s="23" t="n">
        <v>1</v>
      </c>
      <c r="B3" s="23" t="inlineStr">
        <is>
          <t>P1</t>
        </is>
      </c>
      <c r="C3" s="23" t="inlineStr">
        <is>
          <t>IPDC Management Staff</t>
        </is>
      </c>
      <c r="D3" s="23" t="inlineStr">
        <is>
          <t>Headquarters</t>
        </is>
      </c>
      <c r="E3" s="23" t="inlineStr">
        <is>
          <t>Smartphone (Chrome)</t>
        </is>
      </c>
      <c r="F3" s="23" t="inlineStr">
        <is>
          <t>09 Mar 2026</t>
        </is>
      </c>
      <c r="G3" s="23" t="inlineStr">
        <is>
          <t>—</t>
        </is>
      </c>
      <c r="H3" s="23" t="inlineStr">
        <is>
          <t>—</t>
        </is>
      </c>
    </row>
    <row r="4" ht="18" customHeight="1" s="54">
      <c r="A4" s="24" t="n">
        <v>2</v>
      </c>
      <c r="B4" s="24" t="inlineStr">
        <is>
          <t>P2</t>
        </is>
      </c>
      <c r="C4" s="24" t="inlineStr">
        <is>
          <t>Tenant Representative</t>
        </is>
      </c>
      <c r="D4" s="24" t="inlineStr">
        <is>
          <t>Headquarters</t>
        </is>
      </c>
      <c r="E4" s="24" t="inlineStr">
        <is>
          <t>Desktop Computer ( Opera)</t>
        </is>
      </c>
      <c r="F4" s="24" t="inlineStr">
        <is>
          <t>16 Mar 2026</t>
        </is>
      </c>
      <c r="G4" s="24" t="inlineStr">
        <is>
          <t>Foreign-invested</t>
        </is>
      </c>
      <c r="H4" s="24" t="inlineStr">
        <is>
          <t>Other</t>
        </is>
      </c>
    </row>
    <row r="5" ht="18" customHeight="1" s="54">
      <c r="A5" s="23" t="n">
        <v>3</v>
      </c>
      <c r="B5" s="23" t="inlineStr">
        <is>
          <t>P3</t>
        </is>
      </c>
      <c r="C5" s="23" t="inlineStr">
        <is>
          <t>IPDC Management Staff</t>
        </is>
      </c>
      <c r="D5" s="23" t="inlineStr">
        <is>
          <t>Headquarters</t>
        </is>
      </c>
      <c r="E5" s="23" t="inlineStr">
        <is>
          <t>Laptop (Chrome)</t>
        </is>
      </c>
      <c r="F5" s="23" t="inlineStr">
        <is>
          <t>18 Mar 2026</t>
        </is>
      </c>
      <c r="G5" s="23" t="inlineStr">
        <is>
          <t>—</t>
        </is>
      </c>
      <c r="H5" s="23" t="inlineStr">
        <is>
          <t>—</t>
        </is>
      </c>
    </row>
    <row r="6" ht="18" customHeight="1" s="54">
      <c r="A6" s="24" t="n">
        <v>4</v>
      </c>
      <c r="B6" s="24" t="inlineStr">
        <is>
          <t>P4</t>
        </is>
      </c>
      <c r="C6" s="24" t="inlineStr">
        <is>
          <t>Operations Staff</t>
        </is>
      </c>
      <c r="D6" s="24" t="inlineStr">
        <is>
          <t>Headquarters</t>
        </is>
      </c>
      <c r="E6" s="24" t="inlineStr">
        <is>
          <t>Laptop (Chrome)</t>
        </is>
      </c>
      <c r="F6" s="24" t="inlineStr">
        <is>
          <t>18 Mar 2026</t>
        </is>
      </c>
      <c r="G6" s="24" t="inlineStr">
        <is>
          <t>—</t>
        </is>
      </c>
      <c r="H6" s="24" t="inlineStr">
        <is>
          <t>—</t>
        </is>
      </c>
    </row>
    <row r="7" ht="18" customHeight="1" s="54">
      <c r="A7" s="23" t="n">
        <v>5</v>
      </c>
      <c r="B7" s="23" t="inlineStr">
        <is>
          <t>P5</t>
        </is>
      </c>
      <c r="C7" s="23" t="inlineStr">
        <is>
          <t>IPDC Management Staff</t>
        </is>
      </c>
      <c r="D7" s="23" t="inlineStr">
        <is>
          <t>Headquarters</t>
        </is>
      </c>
      <c r="E7" s="23" t="inlineStr">
        <is>
          <t>Laptop (Chrome)</t>
        </is>
      </c>
      <c r="F7" s="23" t="inlineStr">
        <is>
          <t>18 Mar 2026</t>
        </is>
      </c>
      <c r="G7" s="23" t="inlineStr">
        <is>
          <t>—</t>
        </is>
      </c>
      <c r="H7" s="23" t="inlineStr">
        <is>
          <t>—</t>
        </is>
      </c>
    </row>
    <row r="8" ht="18" customHeight="1" s="54">
      <c r="A8" s="24" t="n">
        <v>6</v>
      </c>
      <c r="B8" s="24" t="inlineStr">
        <is>
          <t>P6</t>
        </is>
      </c>
      <c r="C8" s="24" t="inlineStr">
        <is>
          <t>Operations Staff</t>
        </is>
      </c>
      <c r="D8" s="24" t="inlineStr">
        <is>
          <t>Headquarters</t>
        </is>
      </c>
      <c r="E8" s="24" t="inlineStr">
        <is>
          <t>Laptop (Chrome)</t>
        </is>
      </c>
      <c r="F8" s="24" t="inlineStr">
        <is>
          <t>18 Mar 2026</t>
        </is>
      </c>
      <c r="G8" s="24" t="inlineStr">
        <is>
          <t>—</t>
        </is>
      </c>
      <c r="H8" s="24" t="inlineStr">
        <is>
          <t>—</t>
        </is>
      </c>
    </row>
    <row r="9" ht="18" customHeight="1" s="54">
      <c r="A9" s="23" t="n">
        <v>7</v>
      </c>
      <c r="B9" s="23" t="inlineStr">
        <is>
          <t>P7</t>
        </is>
      </c>
      <c r="C9" s="23" t="inlineStr">
        <is>
          <t>Operations Staff</t>
        </is>
      </c>
      <c r="D9" s="23" t="inlineStr">
        <is>
          <t>Headquarters</t>
        </is>
      </c>
      <c r="E9" s="23" t="inlineStr">
        <is>
          <t>Laptop (Chrome)</t>
        </is>
      </c>
      <c r="F9" s="23" t="inlineStr">
        <is>
          <t>18 Mar 2026</t>
        </is>
      </c>
      <c r="G9" s="23" t="inlineStr">
        <is>
          <t>—</t>
        </is>
      </c>
      <c r="H9" s="23" t="inlineStr">
        <is>
          <t>—</t>
        </is>
      </c>
    </row>
    <row r="10" ht="18" customHeight="1" s="54">
      <c r="A10" s="24" t="n">
        <v>8</v>
      </c>
      <c r="B10" s="24" t="inlineStr">
        <is>
          <t>P8</t>
        </is>
      </c>
      <c r="C10" s="24" t="inlineStr">
        <is>
          <t>Operations Staff</t>
        </is>
      </c>
      <c r="D10" s="24" t="inlineStr">
        <is>
          <t>Headquarters</t>
        </is>
      </c>
      <c r="E10" s="24" t="inlineStr">
        <is>
          <t>Desktop Computer (Chrome)</t>
        </is>
      </c>
      <c r="F10" s="24" t="inlineStr">
        <is>
          <t>18 Mar 2026</t>
        </is>
      </c>
      <c r="G10" s="24" t="inlineStr">
        <is>
          <t>—</t>
        </is>
      </c>
      <c r="H10" s="24" t="inlineStr">
        <is>
          <t>—</t>
        </is>
      </c>
    </row>
    <row r="11" ht="18" customHeight="1" s="54">
      <c r="A11" s="23" t="n">
        <v>9</v>
      </c>
      <c r="B11" s="23" t="inlineStr">
        <is>
          <t>P9</t>
        </is>
      </c>
      <c r="C11" s="23" t="inlineStr">
        <is>
          <t>Tenant Representative</t>
        </is>
      </c>
      <c r="D11" s="23" t="inlineStr">
        <is>
          <t>Kilinto SEZ</t>
        </is>
      </c>
      <c r="E11" s="23" t="inlineStr">
        <is>
          <t>Smartphone (Opera)</t>
        </is>
      </c>
      <c r="F11" s="23" t="inlineStr">
        <is>
          <t>18 Mar 2026</t>
        </is>
      </c>
      <c r="G11" s="23" t="inlineStr">
        <is>
          <t>Local (Ethiopian)</t>
        </is>
      </c>
      <c r="H11" s="23" t="inlineStr">
        <is>
          <t>Pharmaceuticals</t>
        </is>
      </c>
    </row>
    <row r="12">
      <c r="A12" s="23" t="n">
        <v>10</v>
      </c>
      <c r="B12" s="23" t="inlineStr">
        <is>
          <t>P10</t>
        </is>
      </c>
      <c r="C12" s="23" t="inlineStr">
        <is>
          <t>Operations Staff</t>
        </is>
      </c>
      <c r="D12" s="23" t="inlineStr">
        <is>
          <t>Headquarters</t>
        </is>
      </c>
      <c r="E12" s="23" t="inlineStr">
        <is>
          <t>Laptop (Chrome)</t>
        </is>
      </c>
      <c r="F12" s="23" t="inlineStr">
        <is>
          <t>18 Mar 2026</t>
        </is>
      </c>
      <c r="G12" s="23" t="inlineStr">
        <is>
          <t>—</t>
        </is>
      </c>
      <c r="H12" s="23" t="inlineStr">
        <is>
          <t>—</t>
        </is>
      </c>
    </row>
    <row r="13" ht="14.5" customHeight="1" s="54">
      <c r="A13" s="23" t="n">
        <v>11</v>
      </c>
      <c r="B13" s="23" t="inlineStr">
        <is>
          <t>P11</t>
        </is>
      </c>
      <c r="C13" s="23" t="inlineStr">
        <is>
          <t>Operations Staff</t>
        </is>
      </c>
      <c r="D13" s="23" t="inlineStr">
        <is>
          <t>Headquarters</t>
        </is>
      </c>
      <c r="E13" s="23" t="inlineStr">
        <is>
          <t>Laptop (Chrome)</t>
        </is>
      </c>
      <c r="F13" s="23" t="inlineStr">
        <is>
          <t>18 Mar 2026</t>
        </is>
      </c>
      <c r="G13" s="23" t="inlineStr">
        <is>
          <t>—</t>
        </is>
      </c>
      <c r="H13" s="23" t="inlineStr">
        <is>
          <t>—</t>
        </is>
      </c>
    </row>
    <row r="14">
      <c r="A14" s="23" t="n">
        <v>12</v>
      </c>
      <c r="B14" s="23" t="inlineStr">
        <is>
          <t>P12</t>
        </is>
      </c>
      <c r="C14" s="23" t="inlineStr">
        <is>
          <t>Tenant Representative</t>
        </is>
      </c>
      <c r="D14" s="23" t="inlineStr">
        <is>
          <t>Kilinto SEZ</t>
        </is>
      </c>
      <c r="E14" s="23" t="inlineStr">
        <is>
          <t>Smartphone (Chrome)</t>
        </is>
      </c>
      <c r="F14" s="23" t="inlineStr">
        <is>
          <t>18 Mar 2026</t>
        </is>
      </c>
      <c r="G14" s="23" t="inlineStr">
        <is>
          <t>Foreign-invested</t>
        </is>
      </c>
      <c r="H14" s="23" t="inlineStr">
        <is>
          <t>Pharmaceuticals</t>
        </is>
      </c>
    </row>
    <row r="15">
      <c r="A15" t="inlineStr">
        <is>
          <t>Note: Participant IDs (P1–P12) are pseudonymised. * Investment Type and Sector apply to Tenant Representatives only. Signed consent forms are held by the researcher and available on request.</t>
        </is>
      </c>
    </row>
    <row r="21" ht="15.75" customHeight="1" s="54"/>
    <row r="22" ht="15.75" customHeight="1" s="54"/>
    <row r="23" ht="15.75" customHeight="1" s="54"/>
    <row r="24" ht="15.75" customHeight="1" s="54"/>
    <row r="25" ht="15.75" customHeight="1" s="54"/>
    <row r="26" ht="15.75" customHeight="1" s="54"/>
    <row r="27" ht="15.75" customHeight="1" s="54"/>
    <row r="28" ht="15.75" customHeight="1" s="54"/>
    <row r="29" ht="15.75" customHeight="1" s="54"/>
    <row r="30" ht="15.75" customHeight="1" s="54"/>
    <row r="31" ht="15.75" customHeight="1" s="54"/>
    <row r="32" ht="15.75" customHeight="1" s="54"/>
    <row r="33" ht="15.75" customHeight="1" s="54"/>
    <row r="34" ht="15.75" customHeight="1" s="54"/>
    <row r="35" ht="15.75" customHeight="1" s="54"/>
    <row r="36" ht="15.75" customHeight="1" s="54"/>
    <row r="37" ht="15.75" customHeight="1" s="54"/>
    <row r="38" ht="15.75" customHeight="1" s="54"/>
    <row r="39" ht="15.75" customHeight="1" s="54"/>
    <row r="40" ht="15.75" customHeight="1" s="54"/>
    <row r="41" ht="15.75" customHeight="1" s="54"/>
    <row r="42" ht="15.75" customHeight="1" s="54"/>
    <row r="43" ht="15.75" customHeight="1" s="54"/>
    <row r="44" ht="15.75" customHeight="1" s="54"/>
    <row r="45" ht="15.75" customHeight="1" s="54"/>
    <row r="46" ht="15.75" customHeight="1" s="54"/>
    <row r="47" ht="15.75" customHeight="1" s="54"/>
    <row r="48" ht="15.75" customHeight="1" s="54"/>
    <row r="49" ht="15.75" customHeight="1" s="54"/>
    <row r="50" ht="15.75" customHeight="1" s="54"/>
    <row r="51" ht="15.75" customHeight="1" s="54"/>
    <row r="52" ht="15.75" customHeight="1" s="54"/>
    <row r="53" ht="15.75" customHeight="1" s="54"/>
    <row r="54" ht="15.75" customHeight="1" s="54"/>
    <row r="55" ht="15.75" customHeight="1" s="54"/>
    <row r="56" ht="15.75" customHeight="1" s="54"/>
    <row r="57" ht="15.75" customHeight="1" s="54"/>
    <row r="58" ht="15.75" customHeight="1" s="54"/>
    <row r="59" ht="15.75" customHeight="1" s="54"/>
    <row r="60" ht="15.75" customHeight="1" s="54"/>
    <row r="61" ht="15.75" customHeight="1" s="54"/>
    <row r="62" ht="15.75" customHeight="1" s="54"/>
    <row r="63" ht="15.75" customHeight="1" s="54"/>
    <row r="64" ht="15.75" customHeight="1" s="54"/>
    <row r="65" ht="15.75" customHeight="1" s="54"/>
    <row r="66" ht="15.75" customHeight="1" s="54"/>
    <row r="67" ht="15.75" customHeight="1" s="54"/>
    <row r="68" ht="15.75" customHeight="1" s="54"/>
    <row r="69" ht="15.75" customHeight="1" s="54"/>
    <row r="70" ht="15.75" customHeight="1" s="54"/>
    <row r="71" ht="15.75" customHeight="1" s="54"/>
    <row r="72" ht="15.75" customHeight="1" s="54"/>
    <row r="73" ht="15.75" customHeight="1" s="54"/>
    <row r="74" ht="15.75" customHeight="1" s="54"/>
    <row r="75" ht="15.75" customHeight="1" s="54"/>
    <row r="76" ht="15.75" customHeight="1" s="54"/>
    <row r="77" ht="15.75" customHeight="1" s="54"/>
    <row r="78" ht="15.75" customHeight="1" s="54"/>
    <row r="79" ht="15.75" customHeight="1" s="54"/>
    <row r="80" ht="15.75" customHeight="1" s="54"/>
    <row r="81" ht="15.75" customHeight="1" s="54"/>
    <row r="82" ht="15.75" customHeight="1" s="54"/>
    <row r="83" ht="15.75" customHeight="1" s="54"/>
    <row r="84" ht="15.75" customHeight="1" s="54"/>
    <row r="85" ht="15.75" customHeight="1" s="54"/>
    <row r="86" ht="15.75" customHeight="1" s="54"/>
    <row r="87" ht="15.75" customHeight="1" s="54"/>
    <row r="88" ht="15.75" customHeight="1" s="54"/>
    <row r="89" ht="15.75" customHeight="1" s="54"/>
    <row r="90" ht="15.75" customHeight="1" s="54"/>
    <row r="91" ht="15.75" customHeight="1" s="54"/>
    <row r="92" ht="15.75" customHeight="1" s="54"/>
    <row r="93" ht="15.75" customHeight="1" s="54"/>
    <row r="94" ht="15.75" customHeight="1" s="54"/>
    <row r="95" ht="15.75" customHeight="1" s="54"/>
    <row r="96" ht="15.75" customHeight="1" s="54"/>
    <row r="97" ht="15.75" customHeight="1" s="54"/>
    <row r="98" ht="15.75" customHeight="1" s="54"/>
    <row r="99" ht="15.75" customHeight="1" s="54"/>
    <row r="100" ht="15.75" customHeight="1" s="54"/>
    <row r="101" ht="15.75" customHeight="1" s="54"/>
    <row r="102" ht="15.75" customHeight="1" s="54"/>
    <row r="103" ht="15.75" customHeight="1" s="54"/>
    <row r="104" ht="15.75" customHeight="1" s="54"/>
    <row r="105" ht="15.75" customHeight="1" s="54"/>
    <row r="106" ht="15.75" customHeight="1" s="54"/>
    <row r="107" ht="15.75" customHeight="1" s="54"/>
    <row r="108" ht="15.75" customHeight="1" s="54"/>
    <row r="109" ht="15.75" customHeight="1" s="54"/>
    <row r="110" ht="15.75" customHeight="1" s="54"/>
    <row r="111" ht="15.75" customHeight="1" s="54"/>
    <row r="112" ht="15.75" customHeight="1" s="54"/>
    <row r="113" ht="15.75" customHeight="1" s="54"/>
    <row r="114" ht="15.75" customHeight="1" s="54"/>
    <row r="115" ht="15.75" customHeight="1" s="54"/>
    <row r="116" ht="15.75" customHeight="1" s="54"/>
    <row r="117" ht="15.75" customHeight="1" s="54"/>
    <row r="118" ht="15.75" customHeight="1" s="54"/>
    <row r="119" ht="15.75" customHeight="1" s="54"/>
    <row r="120" ht="15.75" customHeight="1" s="54"/>
    <row r="121" ht="15.75" customHeight="1" s="54"/>
    <row r="122" ht="15.75" customHeight="1" s="54"/>
    <row r="123" ht="15.75" customHeight="1" s="54"/>
    <row r="124" ht="15.75" customHeight="1" s="54"/>
    <row r="125" ht="15.75" customHeight="1" s="54"/>
    <row r="126" ht="15.75" customHeight="1" s="54"/>
    <row r="127" ht="15.75" customHeight="1" s="54"/>
    <row r="128" ht="15.75" customHeight="1" s="54"/>
    <row r="129" ht="15.75" customHeight="1" s="54"/>
    <row r="130" ht="15.75" customHeight="1" s="54"/>
    <row r="131" ht="15.75" customHeight="1" s="54"/>
    <row r="132" ht="15.75" customHeight="1" s="54"/>
    <row r="133" ht="15.75" customHeight="1" s="54"/>
    <row r="134" ht="15.75" customHeight="1" s="54"/>
    <row r="135" ht="15.75" customHeight="1" s="54"/>
    <row r="136" ht="15.75" customHeight="1" s="54"/>
    <row r="137" ht="15.75" customHeight="1" s="54"/>
    <row r="138" ht="15.75" customHeight="1" s="54"/>
    <row r="139" ht="15.75" customHeight="1" s="54"/>
    <row r="140" ht="15.75" customHeight="1" s="54"/>
    <row r="141" ht="15.75" customHeight="1" s="54"/>
    <row r="142" ht="15.75" customHeight="1" s="54"/>
    <row r="143" ht="15.75" customHeight="1" s="54"/>
    <row r="144" ht="15.75" customHeight="1" s="54"/>
    <row r="145" ht="15.75" customHeight="1" s="54"/>
    <row r="146" ht="15.75" customHeight="1" s="54"/>
    <row r="147" ht="15.75" customHeight="1" s="54"/>
    <row r="148" ht="15.75" customHeight="1" s="54"/>
    <row r="149" ht="15.75" customHeight="1" s="54"/>
    <row r="150" ht="15.75" customHeight="1" s="54"/>
    <row r="151" ht="15.75" customHeight="1" s="54"/>
    <row r="152" ht="15.75" customHeight="1" s="54"/>
    <row r="153" ht="15.75" customHeight="1" s="54"/>
    <row r="154" ht="15.75" customHeight="1" s="54"/>
    <row r="155" ht="15.75" customHeight="1" s="54"/>
    <row r="156" ht="15.75" customHeight="1" s="54"/>
    <row r="157" ht="15.75" customHeight="1" s="54"/>
    <row r="158" ht="15.75" customHeight="1" s="54"/>
    <row r="159" ht="15.75" customHeight="1" s="54"/>
    <row r="160" ht="15.75" customHeight="1" s="54"/>
    <row r="161" ht="15.75" customHeight="1" s="54"/>
    <row r="162" ht="15.75" customHeight="1" s="54"/>
    <row r="163" ht="15.75" customHeight="1" s="54"/>
    <row r="164" ht="15.75" customHeight="1" s="54"/>
    <row r="165" ht="15.75" customHeight="1" s="54"/>
    <row r="166" ht="15.75" customHeight="1" s="54"/>
    <row r="167" ht="15.75" customHeight="1" s="54"/>
    <row r="168" ht="15.75" customHeight="1" s="54"/>
    <row r="169" ht="15.75" customHeight="1" s="54"/>
    <row r="170" ht="15.75" customHeight="1" s="54"/>
    <row r="171" ht="15.75" customHeight="1" s="54"/>
    <row r="172" ht="15.75" customHeight="1" s="54"/>
    <row r="173" ht="15.75" customHeight="1" s="54"/>
    <row r="174" ht="15.75" customHeight="1" s="54"/>
    <row r="175" ht="15.75" customHeight="1" s="54"/>
    <row r="176" ht="15.75" customHeight="1" s="54"/>
    <row r="177" ht="15.75" customHeight="1" s="54"/>
    <row r="178" ht="15.75" customHeight="1" s="54"/>
    <row r="179" ht="15.75" customHeight="1" s="54"/>
    <row r="180" ht="15.75" customHeight="1" s="54"/>
    <row r="181" ht="15.75" customHeight="1" s="54"/>
    <row r="182" ht="15.75" customHeight="1" s="54"/>
    <row r="183" ht="15.75" customHeight="1" s="54"/>
    <row r="184" ht="15.75" customHeight="1" s="54"/>
    <row r="185" ht="15.75" customHeight="1" s="54"/>
    <row r="186" ht="15.75" customHeight="1" s="54"/>
    <row r="187" ht="15.75" customHeight="1" s="54"/>
    <row r="188" ht="15.75" customHeight="1" s="54"/>
    <row r="189" ht="15.75" customHeight="1" s="54"/>
    <row r="190" ht="15.75" customHeight="1" s="54"/>
    <row r="191" ht="15.75" customHeight="1" s="54"/>
    <row r="192" ht="15.75" customHeight="1" s="54"/>
    <row r="193" ht="15.75" customHeight="1" s="54"/>
    <row r="194" ht="15.75" customHeight="1" s="54"/>
    <row r="195" ht="15.75" customHeight="1" s="54"/>
    <row r="196" ht="15.75" customHeight="1" s="54"/>
    <row r="197" ht="15.75" customHeight="1" s="54"/>
    <row r="198" ht="15.75" customHeight="1" s="54"/>
    <row r="199" ht="15.75" customHeight="1" s="54"/>
    <row r="200" ht="15.75" customHeight="1" s="54"/>
    <row r="201" ht="15.75" customHeight="1" s="54"/>
    <row r="202" ht="15.75" customHeight="1" s="54"/>
    <row r="203" ht="15.75" customHeight="1" s="54"/>
    <row r="204" ht="15.75" customHeight="1" s="54"/>
    <row r="205" ht="15.75" customHeight="1" s="54"/>
    <row r="206" ht="15.75" customHeight="1" s="54"/>
    <row r="207" ht="15.75" customHeight="1" s="54"/>
    <row r="208" ht="15.75" customHeight="1" s="54"/>
    <row r="209" ht="15.75" customHeight="1" s="54"/>
    <row r="210" ht="15.75" customHeight="1" s="54"/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1"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ColWidth="14.453125" defaultRowHeight="15" customHeight="1"/>
  <cols>
    <col width="8" customWidth="1" style="54" min="1" max="2"/>
    <col width="26" customWidth="1" style="54" min="3" max="3"/>
    <col width="10" customWidth="1" style="54" min="4" max="13"/>
    <col width="8.7265625" customWidth="1" style="54" min="14" max="26"/>
  </cols>
  <sheetData>
    <row r="1" ht="30" customHeight="1" s="54">
      <c r="A1" s="83" t="inlineStr">
        <is>
          <t>SUS Raw Responses — Enter each participant's 1–5 rating for every question</t>
        </is>
      </c>
    </row>
    <row r="2" ht="18" customHeight="1" s="54">
      <c r="A2" s="22" t="inlineStr">
        <is>
          <t>#</t>
        </is>
      </c>
      <c r="B2" s="22" t="inlineStr">
        <is>
          <t>ID</t>
        </is>
      </c>
      <c r="C2" s="22" t="inlineStr">
        <is>
          <t>Role</t>
        </is>
      </c>
      <c r="D2" s="19" t="inlineStr">
        <is>
          <t>Q1</t>
        </is>
      </c>
      <c r="E2" s="25" t="inlineStr">
        <is>
          <t>Q2</t>
        </is>
      </c>
      <c r="F2" s="19" t="inlineStr">
        <is>
          <t>Q3</t>
        </is>
      </c>
      <c r="G2" s="25" t="inlineStr">
        <is>
          <t>Q4</t>
        </is>
      </c>
      <c r="H2" s="19" t="inlineStr">
        <is>
          <t>Q5</t>
        </is>
      </c>
      <c r="I2" s="25" t="inlineStr">
        <is>
          <t>Q6</t>
        </is>
      </c>
      <c r="J2" s="19" t="inlineStr">
        <is>
          <t>Q7</t>
        </is>
      </c>
      <c r="K2" s="25" t="inlineStr">
        <is>
          <t>Q8</t>
        </is>
      </c>
      <c r="L2" s="19" t="inlineStr">
        <is>
          <t>Q9</t>
        </is>
      </c>
      <c r="M2" s="25" t="inlineStr">
        <is>
          <t>Q10</t>
        </is>
      </c>
    </row>
    <row r="3" ht="60" customHeight="1" s="54">
      <c r="A3" s="84" t="n"/>
      <c r="B3" s="84" t="n"/>
      <c r="C3" s="84" t="n"/>
      <c r="D3" s="26" t="inlineStr">
        <is>
          <t>I think that I would like to use this system frequently.</t>
        </is>
      </c>
      <c r="E3" s="27" t="inlineStr">
        <is>
          <t>I found the system unnecessarily complex.</t>
        </is>
      </c>
      <c r="F3" s="26" t="inlineStr">
        <is>
          <t>I thought the system was easy to use.</t>
        </is>
      </c>
      <c r="G3" s="27" t="inlineStr">
        <is>
          <t>I think that I would need the support of a technical person …</t>
        </is>
      </c>
      <c r="H3" s="26" t="inlineStr">
        <is>
          <t>I found the various functions in this system were well integ…</t>
        </is>
      </c>
      <c r="I3" s="27" t="inlineStr">
        <is>
          <t>I thought there was too much inconsistency in this system.</t>
        </is>
      </c>
      <c r="J3" s="26" t="inlineStr">
        <is>
          <t>I would imagine that most people would learn to use this sys…</t>
        </is>
      </c>
      <c r="K3" s="27" t="inlineStr">
        <is>
          <t>I found the system very cumbersome to use.</t>
        </is>
      </c>
      <c r="L3" s="26" t="inlineStr">
        <is>
          <t>I felt very confident using the system.</t>
        </is>
      </c>
      <c r="M3" s="27" t="inlineStr">
        <is>
          <t>I needed to learn a lot of things before I could get going w…</t>
        </is>
      </c>
    </row>
    <row r="4" ht="15.75" customHeight="1" s="54">
      <c r="A4" s="85" t="inlineStr">
        <is>
          <t>Scale:  1 = Strongly Disagree    2 = Disagree    3 = Neutral    4 = Agree    5 = Strongly Agree</t>
        </is>
      </c>
      <c r="B4" s="80" t="n"/>
      <c r="C4" s="77" t="n"/>
      <c r="D4" s="28" t="inlineStr">
        <is>
          <t>Blue=Positive  Orange=Negative</t>
        </is>
      </c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</row>
    <row r="5" ht="19.5" customHeight="1" s="54">
      <c r="A5" s="23" t="n">
        <v>1</v>
      </c>
      <c r="B5" s="29" t="inlineStr">
        <is>
          <t>P1</t>
        </is>
      </c>
      <c r="C5" s="23" t="inlineStr">
        <is>
          <t>IPDC Management Staff</t>
        </is>
      </c>
      <c r="D5" s="30" t="n">
        <v>5</v>
      </c>
      <c r="E5" s="30" t="n">
        <v>1</v>
      </c>
      <c r="F5" s="30" t="n">
        <v>5</v>
      </c>
      <c r="G5" s="30" t="n">
        <v>2</v>
      </c>
      <c r="H5" s="30" t="n">
        <v>5</v>
      </c>
      <c r="I5" s="30" t="n">
        <v>2</v>
      </c>
      <c r="J5" s="30" t="n">
        <v>4</v>
      </c>
      <c r="K5" s="30" t="n">
        <v>2</v>
      </c>
      <c r="L5" s="30" t="n">
        <v>5</v>
      </c>
      <c r="M5" s="30" t="n">
        <v>2</v>
      </c>
    </row>
    <row r="6" ht="19.5" customHeight="1" s="54">
      <c r="A6" s="24" t="n">
        <v>2</v>
      </c>
      <c r="B6" s="31" t="inlineStr">
        <is>
          <t>P2</t>
        </is>
      </c>
      <c r="C6" s="24" t="inlineStr">
        <is>
          <t>Tenant Representative</t>
        </is>
      </c>
      <c r="D6" s="30" t="n">
        <v>4</v>
      </c>
      <c r="E6" s="30" t="n">
        <v>2</v>
      </c>
      <c r="F6" s="30" t="n">
        <v>5</v>
      </c>
      <c r="G6" s="30" t="n">
        <v>2</v>
      </c>
      <c r="H6" s="30" t="n">
        <v>4</v>
      </c>
      <c r="I6" s="30" t="n">
        <v>2</v>
      </c>
      <c r="J6" s="30" t="n">
        <v>4</v>
      </c>
      <c r="K6" s="30" t="n">
        <v>1</v>
      </c>
      <c r="L6" s="30" t="n">
        <v>4</v>
      </c>
      <c r="M6" s="30" t="n">
        <v>2</v>
      </c>
    </row>
    <row r="7" ht="19.5" customHeight="1" s="54">
      <c r="A7" s="23" t="n">
        <v>3</v>
      </c>
      <c r="B7" s="29" t="inlineStr">
        <is>
          <t>P3</t>
        </is>
      </c>
      <c r="C7" s="23" t="inlineStr">
        <is>
          <t>IPDC Management Staff</t>
        </is>
      </c>
      <c r="D7" s="30" t="n">
        <v>5</v>
      </c>
      <c r="E7" s="30" t="n">
        <v>1</v>
      </c>
      <c r="F7" s="30" t="n">
        <v>4</v>
      </c>
      <c r="G7" s="30" t="n">
        <v>1</v>
      </c>
      <c r="H7" s="30" t="n">
        <v>5</v>
      </c>
      <c r="I7" s="30" t="n">
        <v>1</v>
      </c>
      <c r="J7" s="30" t="n">
        <v>4</v>
      </c>
      <c r="K7" s="30" t="n">
        <v>2</v>
      </c>
      <c r="L7" s="30" t="n">
        <v>5</v>
      </c>
      <c r="M7" s="30" t="n">
        <v>1</v>
      </c>
    </row>
    <row r="8" ht="19.5" customHeight="1" s="54">
      <c r="A8" s="24" t="n">
        <v>4</v>
      </c>
      <c r="B8" s="31" t="inlineStr">
        <is>
          <t>P4</t>
        </is>
      </c>
      <c r="C8" s="24" t="inlineStr">
        <is>
          <t>Operations Staff</t>
        </is>
      </c>
      <c r="D8" s="30" t="n">
        <v>4</v>
      </c>
      <c r="E8" s="30" t="n">
        <v>1</v>
      </c>
      <c r="F8" s="30" t="n">
        <v>5</v>
      </c>
      <c r="G8" s="30" t="n">
        <v>2</v>
      </c>
      <c r="H8" s="30" t="n">
        <v>5</v>
      </c>
      <c r="I8" s="30" t="n">
        <v>2</v>
      </c>
      <c r="J8" s="30" t="n">
        <v>4</v>
      </c>
      <c r="K8" s="30" t="n">
        <v>1</v>
      </c>
      <c r="L8" s="30" t="n">
        <v>4</v>
      </c>
      <c r="M8" s="30" t="n">
        <v>2</v>
      </c>
    </row>
    <row r="9" ht="19.5" customHeight="1" s="54">
      <c r="A9" s="23" t="n">
        <v>5</v>
      </c>
      <c r="B9" s="29" t="inlineStr">
        <is>
          <t>P5</t>
        </is>
      </c>
      <c r="C9" s="23" t="inlineStr">
        <is>
          <t>IPDC Management Staff</t>
        </is>
      </c>
      <c r="D9" s="30" t="n">
        <v>4</v>
      </c>
      <c r="E9" s="30" t="n">
        <v>1</v>
      </c>
      <c r="F9" s="30" t="n">
        <v>4</v>
      </c>
      <c r="G9" s="30" t="n">
        <v>1</v>
      </c>
      <c r="H9" s="30" t="n">
        <v>4</v>
      </c>
      <c r="I9" s="30" t="n">
        <v>1</v>
      </c>
      <c r="J9" s="30" t="n">
        <v>5</v>
      </c>
      <c r="K9" s="30" t="n">
        <v>2</v>
      </c>
      <c r="L9" s="30" t="n">
        <v>4</v>
      </c>
      <c r="M9" s="30" t="n">
        <v>2</v>
      </c>
    </row>
    <row r="10" ht="19.5" customHeight="1" s="54">
      <c r="A10" s="24" t="n">
        <v>6</v>
      </c>
      <c r="B10" s="31" t="inlineStr">
        <is>
          <t>P6</t>
        </is>
      </c>
      <c r="C10" s="24" t="inlineStr">
        <is>
          <t>Operations Staff</t>
        </is>
      </c>
      <c r="D10" s="30" t="n">
        <v>4</v>
      </c>
      <c r="E10" s="30" t="n">
        <v>2</v>
      </c>
      <c r="F10" s="30" t="n">
        <v>5</v>
      </c>
      <c r="G10" s="30" t="n">
        <v>2</v>
      </c>
      <c r="H10" s="30" t="n">
        <v>4</v>
      </c>
      <c r="I10" s="30" t="n">
        <v>1</v>
      </c>
      <c r="J10" s="30" t="n">
        <v>4</v>
      </c>
      <c r="K10" s="30" t="n">
        <v>1</v>
      </c>
      <c r="L10" s="30" t="n">
        <v>4</v>
      </c>
      <c r="M10" s="30" t="n">
        <v>2</v>
      </c>
    </row>
    <row r="11" ht="19.5" customHeight="1" s="54">
      <c r="A11" s="23" t="n">
        <v>7</v>
      </c>
      <c r="B11" s="29" t="inlineStr">
        <is>
          <t>P7</t>
        </is>
      </c>
      <c r="C11" s="23" t="inlineStr">
        <is>
          <t>Operations Staff</t>
        </is>
      </c>
      <c r="D11" s="30" t="n">
        <v>4</v>
      </c>
      <c r="E11" s="30" t="n">
        <v>1</v>
      </c>
      <c r="F11" s="30" t="n">
        <v>5</v>
      </c>
      <c r="G11" s="30" t="n">
        <v>1</v>
      </c>
      <c r="H11" s="30" t="n">
        <v>5</v>
      </c>
      <c r="I11" s="30" t="n">
        <v>2</v>
      </c>
      <c r="J11" s="30" t="n">
        <v>5</v>
      </c>
      <c r="K11" s="30" t="n">
        <v>2</v>
      </c>
      <c r="L11" s="30" t="n">
        <v>5</v>
      </c>
      <c r="M11" s="30" t="n">
        <v>2</v>
      </c>
    </row>
    <row r="12" ht="19.5" customHeight="1" s="54">
      <c r="A12" s="24" t="n">
        <v>8</v>
      </c>
      <c r="B12" s="31" t="inlineStr">
        <is>
          <t>P8</t>
        </is>
      </c>
      <c r="C12" s="24" t="inlineStr">
        <is>
          <t>Operations Staff</t>
        </is>
      </c>
      <c r="D12" s="30" t="n">
        <v>5</v>
      </c>
      <c r="E12" s="30" t="n">
        <v>1</v>
      </c>
      <c r="F12" s="30" t="n">
        <v>5</v>
      </c>
      <c r="G12" s="30" t="n">
        <v>1</v>
      </c>
      <c r="H12" s="30" t="n">
        <v>5</v>
      </c>
      <c r="I12" s="30" t="n">
        <v>2</v>
      </c>
      <c r="J12" s="30" t="n">
        <v>5</v>
      </c>
      <c r="K12" s="30" t="n">
        <v>2</v>
      </c>
      <c r="L12" s="30" t="n">
        <v>5</v>
      </c>
      <c r="M12" s="30" t="n">
        <v>2</v>
      </c>
    </row>
    <row r="13" ht="19.5" customHeight="1" s="54">
      <c r="A13" s="23" t="n">
        <v>9</v>
      </c>
      <c r="B13" s="29" t="inlineStr">
        <is>
          <t>P9</t>
        </is>
      </c>
      <c r="C13" s="23" t="inlineStr">
        <is>
          <t>Tenant Representative</t>
        </is>
      </c>
      <c r="D13" s="30" t="n">
        <v>4</v>
      </c>
      <c r="E13" s="30" t="n">
        <v>2</v>
      </c>
      <c r="F13" s="30" t="n">
        <v>5</v>
      </c>
      <c r="G13" s="30" t="n">
        <v>2</v>
      </c>
      <c r="H13" s="30" t="n">
        <v>5</v>
      </c>
      <c r="I13" s="30" t="n">
        <v>2</v>
      </c>
      <c r="J13" s="30" t="n">
        <v>5</v>
      </c>
      <c r="K13" s="30" t="n">
        <v>2</v>
      </c>
      <c r="L13" s="30" t="n">
        <v>5</v>
      </c>
      <c r="M13" s="30" t="n">
        <v>2</v>
      </c>
    </row>
    <row r="14">
      <c r="A14" s="23" t="n">
        <v>10</v>
      </c>
      <c r="B14" s="29" t="inlineStr">
        <is>
          <t>P10</t>
        </is>
      </c>
      <c r="C14" s="23" t="inlineStr">
        <is>
          <t>Operations Staff</t>
        </is>
      </c>
      <c r="D14" s="30" t="n">
        <v>5</v>
      </c>
      <c r="E14" s="30" t="n">
        <v>2</v>
      </c>
      <c r="F14" s="30" t="n">
        <v>5</v>
      </c>
      <c r="G14" s="30" t="n">
        <v>2</v>
      </c>
      <c r="H14" s="30" t="n">
        <v>4</v>
      </c>
      <c r="I14" s="30" t="n">
        <v>1</v>
      </c>
      <c r="J14" s="30" t="n">
        <v>4</v>
      </c>
      <c r="K14" s="30" t="n">
        <v>1</v>
      </c>
      <c r="L14" s="30" t="n">
        <v>5</v>
      </c>
      <c r="M14" s="30" t="n">
        <v>2</v>
      </c>
    </row>
    <row r="15" ht="30" customHeight="1" s="54">
      <c r="A15" s="23" t="n">
        <v>11</v>
      </c>
      <c r="B15" s="29" t="inlineStr">
        <is>
          <t>P11</t>
        </is>
      </c>
      <c r="C15" s="23" t="inlineStr">
        <is>
          <t>Operations Staff</t>
        </is>
      </c>
      <c r="D15" s="30" t="n">
        <v>4</v>
      </c>
      <c r="E15" s="30" t="n">
        <v>1</v>
      </c>
      <c r="F15" s="30" t="n">
        <v>5</v>
      </c>
      <c r="G15" s="30" t="n">
        <v>1</v>
      </c>
      <c r="H15" s="30" t="n">
        <v>4</v>
      </c>
      <c r="I15" s="30" t="n">
        <v>2</v>
      </c>
      <c r="J15" s="30" t="n">
        <v>4</v>
      </c>
      <c r="K15" s="30" t="n">
        <v>2</v>
      </c>
      <c r="L15" s="30" t="n">
        <v>4</v>
      </c>
      <c r="M15" s="30" t="n">
        <v>1</v>
      </c>
    </row>
    <row r="16">
      <c r="A16" s="23" t="n">
        <v>12</v>
      </c>
      <c r="B16" s="29" t="inlineStr">
        <is>
          <t>P12</t>
        </is>
      </c>
      <c r="C16" s="23" t="inlineStr">
        <is>
          <t>Tenant Representative</t>
        </is>
      </c>
      <c r="D16" s="30" t="n">
        <v>4</v>
      </c>
      <c r="E16" s="30" t="n">
        <v>1</v>
      </c>
      <c r="F16" s="30" t="n">
        <v>5</v>
      </c>
      <c r="G16" s="30" t="n">
        <v>2</v>
      </c>
      <c r="H16" s="30" t="n">
        <v>5</v>
      </c>
      <c r="I16" s="30" t="n">
        <v>2</v>
      </c>
      <c r="J16" s="30" t="n">
        <v>4</v>
      </c>
      <c r="K16" s="30" t="n">
        <v>1</v>
      </c>
      <c r="L16" s="30" t="n">
        <v>4</v>
      </c>
      <c r="M16" s="30" t="n">
        <v>2</v>
      </c>
    </row>
    <row r="17">
      <c r="A17" t="inlineStr">
        <is>
          <t>⚠  Fill in each cell with the participant's actual response (integer 1–5). Scores in 'SUS Score Calculation' update automatically.</t>
        </is>
      </c>
    </row>
    <row r="21" ht="15.75" customHeight="1" s="54"/>
    <row r="22" ht="15.75" customHeight="1" s="54"/>
    <row r="23" ht="15.75" customHeight="1" s="54"/>
    <row r="24" ht="15.75" customHeight="1" s="54"/>
    <row r="25" ht="15.75" customHeight="1" s="54"/>
    <row r="26" ht="15.75" customHeight="1" s="54"/>
    <row r="27" ht="15.75" customHeight="1" s="54"/>
    <row r="28" ht="15.75" customHeight="1" s="54"/>
    <row r="29" ht="15.75" customHeight="1" s="54"/>
    <row r="30" ht="15.75" customHeight="1" s="54"/>
    <row r="31" ht="15.75" customHeight="1" s="54"/>
    <row r="32" ht="15.75" customHeight="1" s="54"/>
    <row r="33" ht="15.75" customHeight="1" s="54"/>
    <row r="34" ht="15.75" customHeight="1" s="54"/>
    <row r="35" ht="15.75" customHeight="1" s="54"/>
    <row r="36" ht="15.75" customHeight="1" s="54"/>
    <row r="37" ht="15.75" customHeight="1" s="54"/>
    <row r="38" ht="15.75" customHeight="1" s="54"/>
    <row r="39" ht="15.75" customHeight="1" s="54"/>
    <row r="40" ht="15.75" customHeight="1" s="54"/>
    <row r="41" ht="15.75" customHeight="1" s="54"/>
    <row r="42" ht="15.75" customHeight="1" s="54"/>
    <row r="43" ht="15.75" customHeight="1" s="54"/>
    <row r="44" ht="15.75" customHeight="1" s="54"/>
    <row r="45" ht="15.75" customHeight="1" s="54"/>
    <row r="46" ht="15.75" customHeight="1" s="54"/>
    <row r="47" ht="15.75" customHeight="1" s="54"/>
    <row r="48" ht="15.75" customHeight="1" s="54"/>
    <row r="49" ht="15.75" customHeight="1" s="54"/>
    <row r="50" ht="15.75" customHeight="1" s="54"/>
    <row r="51" ht="15.75" customHeight="1" s="54"/>
    <row r="52" ht="15.75" customHeight="1" s="54"/>
    <row r="53" ht="15.75" customHeight="1" s="54"/>
    <row r="54" ht="15.75" customHeight="1" s="54"/>
    <row r="55" ht="15.75" customHeight="1" s="54"/>
    <row r="56" ht="15.75" customHeight="1" s="54"/>
    <row r="57" ht="15.75" customHeight="1" s="54"/>
    <row r="58" ht="15.75" customHeight="1" s="54"/>
    <row r="59" ht="15.75" customHeight="1" s="54"/>
    <row r="60" ht="15.75" customHeight="1" s="54"/>
    <row r="61" ht="15.75" customHeight="1" s="54"/>
    <row r="62" ht="15.75" customHeight="1" s="54"/>
    <row r="63" ht="15.75" customHeight="1" s="54"/>
    <row r="64" ht="15.75" customHeight="1" s="54"/>
    <row r="65" ht="15.75" customHeight="1" s="54"/>
    <row r="66" ht="15.75" customHeight="1" s="54"/>
    <row r="67" ht="15.75" customHeight="1" s="54"/>
    <row r="68" ht="15.75" customHeight="1" s="54"/>
    <row r="69" ht="15.75" customHeight="1" s="54"/>
    <row r="70" ht="15.75" customHeight="1" s="54"/>
    <row r="71" ht="15.75" customHeight="1" s="54"/>
    <row r="72" ht="15.75" customHeight="1" s="54"/>
    <row r="73" ht="15.75" customHeight="1" s="54"/>
    <row r="74" ht="15.75" customHeight="1" s="54"/>
    <row r="75" ht="15.75" customHeight="1" s="54"/>
    <row r="76" ht="15.75" customHeight="1" s="54"/>
    <row r="77" ht="15.75" customHeight="1" s="54"/>
    <row r="78" ht="15.75" customHeight="1" s="54"/>
    <row r="79" ht="15.75" customHeight="1" s="54"/>
    <row r="80" ht="15.75" customHeight="1" s="54"/>
    <row r="81" ht="15.75" customHeight="1" s="54"/>
    <row r="82" ht="15.75" customHeight="1" s="54"/>
    <row r="83" ht="15.75" customHeight="1" s="54"/>
    <row r="84" ht="15.75" customHeight="1" s="54"/>
    <row r="85" ht="15.75" customHeight="1" s="54"/>
    <row r="86" ht="15.75" customHeight="1" s="54"/>
    <row r="87" ht="15.75" customHeight="1" s="54"/>
    <row r="88" ht="15.75" customHeight="1" s="54"/>
    <row r="89" ht="15.75" customHeight="1" s="54"/>
    <row r="90" ht="15.75" customHeight="1" s="54"/>
    <row r="91" ht="15.75" customHeight="1" s="54"/>
    <row r="92" ht="15.75" customHeight="1" s="54"/>
    <row r="93" ht="15.75" customHeight="1" s="54"/>
    <row r="94" ht="15.75" customHeight="1" s="54"/>
    <row r="95" ht="15.75" customHeight="1" s="54"/>
    <row r="96" ht="15.75" customHeight="1" s="54"/>
    <row r="97" ht="15.75" customHeight="1" s="54"/>
    <row r="98" ht="15.75" customHeight="1" s="54"/>
    <row r="99" ht="15.75" customHeight="1" s="54"/>
    <row r="100" ht="15.75" customHeight="1" s="54"/>
    <row r="101" ht="15.75" customHeight="1" s="54"/>
    <row r="102" ht="15.75" customHeight="1" s="54"/>
    <row r="103" ht="15.75" customHeight="1" s="54"/>
    <row r="104" ht="15.75" customHeight="1" s="54"/>
    <row r="105" ht="15.75" customHeight="1" s="54"/>
    <row r="106" ht="15.75" customHeight="1" s="54"/>
    <row r="107" ht="15.75" customHeight="1" s="54"/>
    <row r="108" ht="15.75" customHeight="1" s="54"/>
    <row r="109" ht="15.75" customHeight="1" s="54"/>
    <row r="110" ht="15.75" customHeight="1" s="54"/>
    <row r="111" ht="15.75" customHeight="1" s="54"/>
    <row r="112" ht="15.75" customHeight="1" s="54"/>
    <row r="113" ht="15.75" customHeight="1" s="54"/>
    <row r="114" ht="15.75" customHeight="1" s="54"/>
    <row r="115" ht="15.75" customHeight="1" s="54"/>
    <row r="116" ht="15.75" customHeight="1" s="54"/>
    <row r="117" ht="15.75" customHeight="1" s="54"/>
    <row r="118" ht="15.75" customHeight="1" s="54"/>
    <row r="119" ht="15.75" customHeight="1" s="54"/>
    <row r="120" ht="15.75" customHeight="1" s="54"/>
    <row r="121" ht="15.75" customHeight="1" s="54"/>
    <row r="122" ht="15.75" customHeight="1" s="54"/>
    <row r="123" ht="15.75" customHeight="1" s="54"/>
    <row r="124" ht="15.75" customHeight="1" s="54"/>
    <row r="125" ht="15.75" customHeight="1" s="54"/>
    <row r="126" ht="15.75" customHeight="1" s="54"/>
    <row r="127" ht="15.75" customHeight="1" s="54"/>
    <row r="128" ht="15.75" customHeight="1" s="54"/>
    <row r="129" ht="15.75" customHeight="1" s="54"/>
    <row r="130" ht="15.75" customHeight="1" s="54"/>
    <row r="131" ht="15.75" customHeight="1" s="54"/>
    <row r="132" ht="15.75" customHeight="1" s="54"/>
    <row r="133" ht="15.75" customHeight="1" s="54"/>
    <row r="134" ht="15.75" customHeight="1" s="54"/>
    <row r="135" ht="15.75" customHeight="1" s="54"/>
    <row r="136" ht="15.75" customHeight="1" s="54"/>
    <row r="137" ht="15.75" customHeight="1" s="54"/>
    <row r="138" ht="15.75" customHeight="1" s="54"/>
    <row r="139" ht="15.75" customHeight="1" s="54"/>
    <row r="140" ht="15.75" customHeight="1" s="54"/>
    <row r="141" ht="15.75" customHeight="1" s="54"/>
    <row r="142" ht="15.75" customHeight="1" s="54"/>
    <row r="143" ht="15.75" customHeight="1" s="54"/>
    <row r="144" ht="15.75" customHeight="1" s="54"/>
    <row r="145" ht="15.75" customHeight="1" s="54"/>
    <row r="146" ht="15.75" customHeight="1" s="54"/>
    <row r="147" ht="15.75" customHeight="1" s="54"/>
    <row r="148" ht="15.75" customHeight="1" s="54"/>
    <row r="149" ht="15.75" customHeight="1" s="54"/>
    <row r="150" ht="15.75" customHeight="1" s="54"/>
    <row r="151" ht="15.75" customHeight="1" s="54"/>
    <row r="152" ht="15.75" customHeight="1" s="54"/>
    <row r="153" ht="15.75" customHeight="1" s="54"/>
    <row r="154" ht="15.75" customHeight="1" s="54"/>
    <row r="155" ht="15.75" customHeight="1" s="54"/>
    <row r="156" ht="15.75" customHeight="1" s="54"/>
    <row r="157" ht="15.75" customHeight="1" s="54"/>
    <row r="158" ht="15.75" customHeight="1" s="54"/>
    <row r="159" ht="15.75" customHeight="1" s="54"/>
    <row r="160" ht="15.75" customHeight="1" s="54"/>
    <row r="161" ht="15.75" customHeight="1" s="54"/>
    <row r="162" ht="15.75" customHeight="1" s="54"/>
    <row r="163" ht="15.75" customHeight="1" s="54"/>
    <row r="164" ht="15.75" customHeight="1" s="54"/>
    <row r="165" ht="15.75" customHeight="1" s="54"/>
    <row r="166" ht="15.75" customHeight="1" s="54"/>
    <row r="167" ht="15.75" customHeight="1" s="54"/>
    <row r="168" ht="15.75" customHeight="1" s="54"/>
    <row r="169" ht="15.75" customHeight="1" s="54"/>
    <row r="170" ht="15.75" customHeight="1" s="54"/>
    <row r="171" ht="15.75" customHeight="1" s="54"/>
    <row r="172" ht="15.75" customHeight="1" s="54"/>
    <row r="173" ht="15.75" customHeight="1" s="54"/>
    <row r="174" ht="15.75" customHeight="1" s="54"/>
    <row r="175" ht="15.75" customHeight="1" s="54"/>
    <row r="176" ht="15.75" customHeight="1" s="54"/>
    <row r="177" ht="15.75" customHeight="1" s="54"/>
    <row r="178" ht="15.75" customHeight="1" s="54"/>
    <row r="179" ht="15.75" customHeight="1" s="54"/>
    <row r="180" ht="15.75" customHeight="1" s="54"/>
    <row r="181" ht="15.75" customHeight="1" s="54"/>
    <row r="182" ht="15.75" customHeight="1" s="54"/>
    <row r="183" ht="15.75" customHeight="1" s="54"/>
    <row r="184" ht="15.75" customHeight="1" s="54"/>
    <row r="185" ht="15.75" customHeight="1" s="54"/>
    <row r="186" ht="15.75" customHeight="1" s="54"/>
    <row r="187" ht="15.75" customHeight="1" s="54"/>
    <row r="188" ht="15.75" customHeight="1" s="54"/>
    <row r="189" ht="15.75" customHeight="1" s="54"/>
    <row r="190" ht="15.75" customHeight="1" s="54"/>
    <row r="191" ht="15.75" customHeight="1" s="54"/>
    <row r="192" ht="15.75" customHeight="1" s="54"/>
    <row r="193" ht="15.75" customHeight="1" s="54"/>
    <row r="194" ht="15.75" customHeight="1" s="54"/>
    <row r="195" ht="15.75" customHeight="1" s="54"/>
    <row r="196" ht="15.75" customHeight="1" s="54"/>
    <row r="197" ht="15.75" customHeight="1" s="54"/>
    <row r="198" ht="15.75" customHeight="1" s="54"/>
    <row r="199" ht="15.75" customHeight="1" s="54"/>
    <row r="200" ht="15.75" customHeight="1" s="54"/>
    <row r="201" ht="15.75" customHeight="1" s="54"/>
    <row r="202" ht="15.75" customHeight="1" s="54"/>
    <row r="203" ht="15.75" customHeight="1" s="54"/>
    <row r="204" ht="15.75" customHeight="1" s="54"/>
    <row r="205" ht="15.75" customHeight="1" s="54"/>
    <row r="206" ht="15.75" customHeight="1" s="54"/>
    <row r="207" ht="15.75" customHeight="1" s="54"/>
    <row r="208" ht="15.75" customHeight="1" s="54"/>
    <row r="209" ht="15.75" customHeight="1" s="54"/>
    <row r="210" ht="15.75" customHeight="1" s="54"/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5">
    <mergeCell ref="A1:M1"/>
    <mergeCell ref="A2:A3"/>
    <mergeCell ref="B2:B3"/>
    <mergeCell ref="C2:C3"/>
    <mergeCell ref="A4:C4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selection activeCell="A1" sqref="A1"/>
    </sheetView>
  </sheetViews>
  <sheetFormatPr baseColWidth="8" defaultColWidth="14.453125" defaultRowHeight="15" customHeight="1"/>
  <cols>
    <col width="8" customWidth="1" style="54" min="1" max="2"/>
    <col width="26" customWidth="1" style="54" min="3" max="3"/>
    <col width="11" customWidth="1" style="54" min="4" max="13"/>
    <col width="14" customWidth="1" style="54" min="14" max="15"/>
    <col width="8.7265625" customWidth="1" style="54" min="16" max="26"/>
  </cols>
  <sheetData>
    <row r="1" ht="30" customHeight="1" s="54">
      <c r="A1" s="83" t="inlineStr">
        <is>
          <t>SUS Score Calculation — Converted Scores and Final SUS Score (Auto-calculated)</t>
        </is>
      </c>
    </row>
    <row r="2" ht="19.5" customHeight="1" s="54">
      <c r="A2" s="22" t="inlineStr">
        <is>
          <t>#</t>
        </is>
      </c>
      <c r="B2" s="22" t="inlineStr">
        <is>
          <t>ID</t>
        </is>
      </c>
      <c r="C2" s="22" t="inlineStr">
        <is>
          <t>Role</t>
        </is>
      </c>
      <c r="D2" s="32" t="inlineStr">
        <is>
          <t>Q1 Conv.</t>
        </is>
      </c>
      <c r="E2" s="33" t="inlineStr">
        <is>
          <t>Q2 Conv.</t>
        </is>
      </c>
      <c r="F2" s="32" t="inlineStr">
        <is>
          <t>Q3 Conv.</t>
        </is>
      </c>
      <c r="G2" s="33" t="inlineStr">
        <is>
          <t>Q4 Conv.</t>
        </is>
      </c>
      <c r="H2" s="32" t="inlineStr">
        <is>
          <t>Q5 Conv.</t>
        </is>
      </c>
      <c r="I2" s="33" t="inlineStr">
        <is>
          <t>Q6 Conv.</t>
        </is>
      </c>
      <c r="J2" s="32" t="inlineStr">
        <is>
          <t>Q7 Conv.</t>
        </is>
      </c>
      <c r="K2" s="33" t="inlineStr">
        <is>
          <t>Q8 Conv.</t>
        </is>
      </c>
      <c r="L2" s="32" t="inlineStr">
        <is>
          <t>Q9 Conv.</t>
        </is>
      </c>
      <c r="M2" s="33" t="inlineStr">
        <is>
          <t>Q10 Conv.</t>
        </is>
      </c>
      <c r="N2" s="22" t="inlineStr">
        <is>
          <t>Raw Sum</t>
        </is>
      </c>
      <c r="O2" s="22" t="inlineStr">
        <is>
          <t>SUS Score</t>
        </is>
      </c>
    </row>
    <row r="3" ht="18" customHeight="1" s="54">
      <c r="A3" s="84" t="n"/>
      <c r="B3" s="84" t="n"/>
      <c r="C3" s="84" t="n"/>
      <c r="D3" s="34" t="inlineStr">
        <is>
          <t>R−1</t>
        </is>
      </c>
      <c r="E3" s="35" t="inlineStr">
        <is>
          <t>5−R</t>
        </is>
      </c>
      <c r="F3" s="34" t="inlineStr">
        <is>
          <t>R−1</t>
        </is>
      </c>
      <c r="G3" s="35" t="inlineStr">
        <is>
          <t>5−R</t>
        </is>
      </c>
      <c r="H3" s="34" t="inlineStr">
        <is>
          <t>R−1</t>
        </is>
      </c>
      <c r="I3" s="35" t="inlineStr">
        <is>
          <t>5−R</t>
        </is>
      </c>
      <c r="J3" s="34" t="inlineStr">
        <is>
          <t>R−1</t>
        </is>
      </c>
      <c r="K3" s="35" t="inlineStr">
        <is>
          <t>5−R</t>
        </is>
      </c>
      <c r="L3" s="34" t="inlineStr">
        <is>
          <t>R−1</t>
        </is>
      </c>
      <c r="M3" s="35" t="inlineStr">
        <is>
          <t>5−R</t>
        </is>
      </c>
      <c r="N3" s="36" t="inlineStr">
        <is>
          <t>(max 40)</t>
        </is>
      </c>
      <c r="O3" s="36" t="inlineStr">
        <is>
          <t>Sum × 2.5</t>
        </is>
      </c>
    </row>
    <row r="4" ht="19.5" customHeight="1" s="54">
      <c r="A4" s="23" t="n">
        <v>1</v>
      </c>
      <c r="B4" s="29" t="inlineStr">
        <is>
          <t>P1</t>
        </is>
      </c>
      <c r="C4" s="23" t="inlineStr">
        <is>
          <t>IPDC Management Staff</t>
        </is>
      </c>
      <c r="D4" s="30">
        <f>IF('SUS Raw Responses'!D5="","",'SUS Raw Responses'!D5-1)</f>
        <v/>
      </c>
      <c r="E4" s="37">
        <f>IF('SUS Raw Responses'!E5="","",5-'SUS Raw Responses'!E5)</f>
        <v/>
      </c>
      <c r="F4" s="30">
        <f>IF('SUS Raw Responses'!F5="","",'SUS Raw Responses'!F5-1)</f>
        <v/>
      </c>
      <c r="G4" s="37">
        <f>IF('SUS Raw Responses'!G5="","",5-'SUS Raw Responses'!G5)</f>
        <v/>
      </c>
      <c r="H4" s="30">
        <f>IF('SUS Raw Responses'!H5="","",'SUS Raw Responses'!H5-1)</f>
        <v/>
      </c>
      <c r="I4" s="37">
        <f>IF('SUS Raw Responses'!I5="","",5-'SUS Raw Responses'!I5)</f>
        <v/>
      </c>
      <c r="J4" s="30">
        <f>IF('SUS Raw Responses'!J5="","",'SUS Raw Responses'!J5-1)</f>
        <v/>
      </c>
      <c r="K4" s="37">
        <f>IF('SUS Raw Responses'!K5="","",5-'SUS Raw Responses'!K5)</f>
        <v/>
      </c>
      <c r="L4" s="30">
        <f>IF('SUS Raw Responses'!L5="","",'SUS Raw Responses'!L5-1)</f>
        <v/>
      </c>
      <c r="M4" s="37">
        <f>IF('SUS Raw Responses'!M5="","",5-'SUS Raw Responses'!M5)</f>
        <v/>
      </c>
      <c r="N4" s="38">
        <f>IF(COUNTA(D4,E4,F4,G4,H4,I4,J4,K4,L4,M4)=10,SUM(D4,E4,F4,G4,H4,I4,J4,K4,L4,M4),"")</f>
        <v/>
      </c>
      <c r="O4" s="39">
        <f>IF(N4="","",N4*2.5)</f>
        <v/>
      </c>
    </row>
    <row r="5" ht="19.5" customHeight="1" s="54">
      <c r="A5" s="24" t="n">
        <v>2</v>
      </c>
      <c r="B5" s="31" t="inlineStr">
        <is>
          <t>P2</t>
        </is>
      </c>
      <c r="C5" s="24" t="inlineStr">
        <is>
          <t>Tenant Representative</t>
        </is>
      </c>
      <c r="D5" s="40">
        <f>IF('SUS Raw Responses'!D6="","",'SUS Raw Responses'!D6-1)</f>
        <v/>
      </c>
      <c r="E5" s="41">
        <f>IF('SUS Raw Responses'!E6="","",5-'SUS Raw Responses'!E6)</f>
        <v/>
      </c>
      <c r="F5" s="40">
        <f>IF('SUS Raw Responses'!F6="","",'SUS Raw Responses'!F6-1)</f>
        <v/>
      </c>
      <c r="G5" s="41">
        <f>IF('SUS Raw Responses'!G6="","",5-'SUS Raw Responses'!G6)</f>
        <v/>
      </c>
      <c r="H5" s="40">
        <f>IF('SUS Raw Responses'!H6="","",'SUS Raw Responses'!H6-1)</f>
        <v/>
      </c>
      <c r="I5" s="41">
        <f>IF('SUS Raw Responses'!I6="","",5-'SUS Raw Responses'!I6)</f>
        <v/>
      </c>
      <c r="J5" s="40">
        <f>IF('SUS Raw Responses'!J6="","",'SUS Raw Responses'!J6-1)</f>
        <v/>
      </c>
      <c r="K5" s="41">
        <f>IF('SUS Raw Responses'!K6="","",5-'SUS Raw Responses'!K6)</f>
        <v/>
      </c>
      <c r="L5" s="40">
        <f>IF('SUS Raw Responses'!L6="","",'SUS Raw Responses'!L6-1)</f>
        <v/>
      </c>
      <c r="M5" s="41">
        <f>IF('SUS Raw Responses'!M6="","",5-'SUS Raw Responses'!M6)</f>
        <v/>
      </c>
      <c r="N5" s="38">
        <f>IF(COUNTA(D5,E5,F5,G5,H5,I5,J5,K5,L5,M5)=10,SUM(D5,E5,F5,G5,H5,I5,J5,K5,L5,M5),"")</f>
        <v/>
      </c>
      <c r="O5" s="39">
        <f>IF(N5="","",N5*2.5)</f>
        <v/>
      </c>
    </row>
    <row r="6" ht="19.5" customHeight="1" s="54">
      <c r="A6" s="23" t="n">
        <v>3</v>
      </c>
      <c r="B6" s="29" t="inlineStr">
        <is>
          <t>P3</t>
        </is>
      </c>
      <c r="C6" s="23" t="inlineStr">
        <is>
          <t>IPDC Management Staff</t>
        </is>
      </c>
      <c r="D6" s="30">
        <f>IF('SUS Raw Responses'!D7="","",'SUS Raw Responses'!D7-1)</f>
        <v/>
      </c>
      <c r="E6" s="37">
        <f>IF('SUS Raw Responses'!E7="","",5-'SUS Raw Responses'!E7)</f>
        <v/>
      </c>
      <c r="F6" s="30">
        <f>IF('SUS Raw Responses'!F7="","",'SUS Raw Responses'!F7-1)</f>
        <v/>
      </c>
      <c r="G6" s="37">
        <f>IF('SUS Raw Responses'!G7="","",5-'SUS Raw Responses'!G7)</f>
        <v/>
      </c>
      <c r="H6" s="30">
        <f>IF('SUS Raw Responses'!H7="","",'SUS Raw Responses'!H7-1)</f>
        <v/>
      </c>
      <c r="I6" s="37">
        <f>IF('SUS Raw Responses'!I7="","",5-'SUS Raw Responses'!I7)</f>
        <v/>
      </c>
      <c r="J6" s="30">
        <f>IF('SUS Raw Responses'!J7="","",'SUS Raw Responses'!J7-1)</f>
        <v/>
      </c>
      <c r="K6" s="37">
        <f>IF('SUS Raw Responses'!K7="","",5-'SUS Raw Responses'!K7)</f>
        <v/>
      </c>
      <c r="L6" s="30">
        <f>IF('SUS Raw Responses'!L7="","",'SUS Raw Responses'!L7-1)</f>
        <v/>
      </c>
      <c r="M6" s="37">
        <f>IF('SUS Raw Responses'!M7="","",5-'SUS Raw Responses'!M7)</f>
        <v/>
      </c>
      <c r="N6" s="38">
        <f>IF(COUNTA(D6,E6,F6,G6,H6,I6,J6,K6,L6,M6)=10,SUM(D6,E6,F6,G6,H6,I6,J6,K6,L6,M6),"")</f>
        <v/>
      </c>
      <c r="O6" s="39">
        <f>IF(N6="","",N6*2.5)</f>
        <v/>
      </c>
    </row>
    <row r="7" ht="19.5" customHeight="1" s="54">
      <c r="A7" s="24" t="n">
        <v>4</v>
      </c>
      <c r="B7" s="31" t="inlineStr">
        <is>
          <t>P4</t>
        </is>
      </c>
      <c r="C7" s="24" t="inlineStr">
        <is>
          <t>Operations Staff</t>
        </is>
      </c>
      <c r="D7" s="40">
        <f>IF('SUS Raw Responses'!D8="","",'SUS Raw Responses'!D8-1)</f>
        <v/>
      </c>
      <c r="E7" s="41">
        <f>IF('SUS Raw Responses'!E8="","",5-'SUS Raw Responses'!E8)</f>
        <v/>
      </c>
      <c r="F7" s="40">
        <f>IF('SUS Raw Responses'!F8="","",'SUS Raw Responses'!F8-1)</f>
        <v/>
      </c>
      <c r="G7" s="41">
        <f>IF('SUS Raw Responses'!G8="","",5-'SUS Raw Responses'!G8)</f>
        <v/>
      </c>
      <c r="H7" s="40">
        <f>IF('SUS Raw Responses'!H8="","",'SUS Raw Responses'!H8-1)</f>
        <v/>
      </c>
      <c r="I7" s="41">
        <f>IF('SUS Raw Responses'!I8="","",5-'SUS Raw Responses'!I8)</f>
        <v/>
      </c>
      <c r="J7" s="40">
        <f>IF('SUS Raw Responses'!J8="","",'SUS Raw Responses'!J8-1)</f>
        <v/>
      </c>
      <c r="K7" s="41">
        <f>IF('SUS Raw Responses'!K8="","",5-'SUS Raw Responses'!K8)</f>
        <v/>
      </c>
      <c r="L7" s="40">
        <f>IF('SUS Raw Responses'!L8="","",'SUS Raw Responses'!L8-1)</f>
        <v/>
      </c>
      <c r="M7" s="41">
        <f>IF('SUS Raw Responses'!M8="","",5-'SUS Raw Responses'!M8)</f>
        <v/>
      </c>
      <c r="N7" s="38">
        <f>IF(COUNTA(D7,E7,F7,G7,H7,I7,J7,K7,L7,M7)=10,SUM(D7,E7,F7,G7,H7,I7,J7,K7,L7,M7),"")</f>
        <v/>
      </c>
      <c r="O7" s="39">
        <f>IF(N7="","",N7*2.5)</f>
        <v/>
      </c>
    </row>
    <row r="8" ht="19.5" customHeight="1" s="54">
      <c r="A8" s="23" t="n">
        <v>5</v>
      </c>
      <c r="B8" s="29" t="inlineStr">
        <is>
          <t>P5</t>
        </is>
      </c>
      <c r="C8" s="23" t="inlineStr">
        <is>
          <t>IPDC Management Staff</t>
        </is>
      </c>
      <c r="D8" s="30">
        <f>IF('SUS Raw Responses'!D9="","",'SUS Raw Responses'!D9-1)</f>
        <v/>
      </c>
      <c r="E8" s="37">
        <f>IF('SUS Raw Responses'!E9="","",5-'SUS Raw Responses'!E9)</f>
        <v/>
      </c>
      <c r="F8" s="30">
        <f>IF('SUS Raw Responses'!F9="","",'SUS Raw Responses'!F9-1)</f>
        <v/>
      </c>
      <c r="G8" s="37">
        <f>IF('SUS Raw Responses'!G9="","",5-'SUS Raw Responses'!G9)</f>
        <v/>
      </c>
      <c r="H8" s="30">
        <f>IF('SUS Raw Responses'!H9="","",'SUS Raw Responses'!H9-1)</f>
        <v/>
      </c>
      <c r="I8" s="37">
        <f>IF('SUS Raw Responses'!I9="","",5-'SUS Raw Responses'!I9)</f>
        <v/>
      </c>
      <c r="J8" s="30">
        <f>IF('SUS Raw Responses'!J9="","",'SUS Raw Responses'!J9-1)</f>
        <v/>
      </c>
      <c r="K8" s="37">
        <f>IF('SUS Raw Responses'!K9="","",5-'SUS Raw Responses'!K9)</f>
        <v/>
      </c>
      <c r="L8" s="30">
        <f>IF('SUS Raw Responses'!L9="","",'SUS Raw Responses'!L9-1)</f>
        <v/>
      </c>
      <c r="M8" s="37">
        <f>IF('SUS Raw Responses'!M9="","",5-'SUS Raw Responses'!M9)</f>
        <v/>
      </c>
      <c r="N8" s="38">
        <f>IF(COUNTA(D8,E8,F8,G8,H8,I8,J8,K8,L8,M8)=10,SUM(D8,E8,F8,G8,H8,I8,J8,K8,L8,M8),"")</f>
        <v/>
      </c>
      <c r="O8" s="39">
        <f>IF(N8="","",N8*2.5)</f>
        <v/>
      </c>
    </row>
    <row r="9" ht="19.5" customHeight="1" s="54">
      <c r="A9" s="24" t="n">
        <v>6</v>
      </c>
      <c r="B9" s="31" t="inlineStr">
        <is>
          <t>P6</t>
        </is>
      </c>
      <c r="C9" s="24" t="inlineStr">
        <is>
          <t>Operations Staff</t>
        </is>
      </c>
      <c r="D9" s="40">
        <f>IF('SUS Raw Responses'!D10="","",'SUS Raw Responses'!D10-1)</f>
        <v/>
      </c>
      <c r="E9" s="41">
        <f>IF('SUS Raw Responses'!E10="","",5-'SUS Raw Responses'!E10)</f>
        <v/>
      </c>
      <c r="F9" s="40">
        <f>IF('SUS Raw Responses'!F10="","",'SUS Raw Responses'!F10-1)</f>
        <v/>
      </c>
      <c r="G9" s="41">
        <f>IF('SUS Raw Responses'!G10="","",5-'SUS Raw Responses'!G10)</f>
        <v/>
      </c>
      <c r="H9" s="40">
        <f>IF('SUS Raw Responses'!H10="","",'SUS Raw Responses'!H10-1)</f>
        <v/>
      </c>
      <c r="I9" s="41">
        <f>IF('SUS Raw Responses'!I10="","",5-'SUS Raw Responses'!I10)</f>
        <v/>
      </c>
      <c r="J9" s="40">
        <f>IF('SUS Raw Responses'!J10="","",'SUS Raw Responses'!J10-1)</f>
        <v/>
      </c>
      <c r="K9" s="41">
        <f>IF('SUS Raw Responses'!K10="","",5-'SUS Raw Responses'!K10)</f>
        <v/>
      </c>
      <c r="L9" s="40">
        <f>IF('SUS Raw Responses'!L10="","",'SUS Raw Responses'!L10-1)</f>
        <v/>
      </c>
      <c r="M9" s="41">
        <f>IF('SUS Raw Responses'!M10="","",5-'SUS Raw Responses'!M10)</f>
        <v/>
      </c>
      <c r="N9" s="38">
        <f>IF(COUNTA(D9,E9,F9,G9,H9,I9,J9,K9,L9,M9)=10,SUM(D9,E9,F9,G9,H9,I9,J9,K9,L9,M9),"")</f>
        <v/>
      </c>
      <c r="O9" s="39">
        <f>IF(N9="","",N9*2.5)</f>
        <v/>
      </c>
    </row>
    <row r="10" ht="19.5" customHeight="1" s="54">
      <c r="A10" s="23" t="n">
        <v>7</v>
      </c>
      <c r="B10" s="29" t="inlineStr">
        <is>
          <t>P7</t>
        </is>
      </c>
      <c r="C10" s="23" t="inlineStr">
        <is>
          <t>Operations Staff</t>
        </is>
      </c>
      <c r="D10" s="30">
        <f>IF('SUS Raw Responses'!D11="","",'SUS Raw Responses'!D11-1)</f>
        <v/>
      </c>
      <c r="E10" s="37">
        <f>IF('SUS Raw Responses'!E11="","",5-'SUS Raw Responses'!E11)</f>
        <v/>
      </c>
      <c r="F10" s="30">
        <f>IF('SUS Raw Responses'!F11="","",'SUS Raw Responses'!F11-1)</f>
        <v/>
      </c>
      <c r="G10" s="37">
        <f>IF('SUS Raw Responses'!G11="","",5-'SUS Raw Responses'!G11)</f>
        <v/>
      </c>
      <c r="H10" s="30">
        <f>IF('SUS Raw Responses'!H11="","",'SUS Raw Responses'!H11-1)</f>
        <v/>
      </c>
      <c r="I10" s="37">
        <f>IF('SUS Raw Responses'!I11="","",5-'SUS Raw Responses'!I11)</f>
        <v/>
      </c>
      <c r="J10" s="30">
        <f>IF('SUS Raw Responses'!J11="","",'SUS Raw Responses'!J11-1)</f>
        <v/>
      </c>
      <c r="K10" s="37">
        <f>IF('SUS Raw Responses'!K11="","",5-'SUS Raw Responses'!K11)</f>
        <v/>
      </c>
      <c r="L10" s="30">
        <f>IF('SUS Raw Responses'!L11="","",'SUS Raw Responses'!L11-1)</f>
        <v/>
      </c>
      <c r="M10" s="37">
        <f>IF('SUS Raw Responses'!M11="","",5-'SUS Raw Responses'!M11)</f>
        <v/>
      </c>
      <c r="N10" s="38">
        <f>IF(COUNTA(D10,E10,F10,G10,H10,I10,J10,K10,L10,M10)=10,SUM(D10,E10,F10,G10,H10,I10,J10,K10,L10,M10),"")</f>
        <v/>
      </c>
      <c r="O10" s="39">
        <f>IF(N10="","",N10*2.5)</f>
        <v/>
      </c>
    </row>
    <row r="11" ht="19.5" customHeight="1" s="54">
      <c r="A11" s="24" t="n">
        <v>8</v>
      </c>
      <c r="B11" s="31" t="inlineStr">
        <is>
          <t>P8</t>
        </is>
      </c>
      <c r="C11" s="24" t="inlineStr">
        <is>
          <t>Operations Staff</t>
        </is>
      </c>
      <c r="D11" s="40">
        <f>IF('SUS Raw Responses'!D12="","",'SUS Raw Responses'!D12-1)</f>
        <v/>
      </c>
      <c r="E11" s="41">
        <f>IF('SUS Raw Responses'!E12="","",5-'SUS Raw Responses'!E12)</f>
        <v/>
      </c>
      <c r="F11" s="40">
        <f>IF('SUS Raw Responses'!F12="","",'SUS Raw Responses'!F12-1)</f>
        <v/>
      </c>
      <c r="G11" s="41">
        <f>IF('SUS Raw Responses'!G12="","",5-'SUS Raw Responses'!G12)</f>
        <v/>
      </c>
      <c r="H11" s="40">
        <f>IF('SUS Raw Responses'!H12="","",'SUS Raw Responses'!H12-1)</f>
        <v/>
      </c>
      <c r="I11" s="41">
        <f>IF('SUS Raw Responses'!I12="","",5-'SUS Raw Responses'!I12)</f>
        <v/>
      </c>
      <c r="J11" s="40">
        <f>IF('SUS Raw Responses'!J12="","",'SUS Raw Responses'!J12-1)</f>
        <v/>
      </c>
      <c r="K11" s="41">
        <f>IF('SUS Raw Responses'!K12="","",5-'SUS Raw Responses'!K12)</f>
        <v/>
      </c>
      <c r="L11" s="40">
        <f>IF('SUS Raw Responses'!L12="","",'SUS Raw Responses'!L12-1)</f>
        <v/>
      </c>
      <c r="M11" s="41">
        <f>IF('SUS Raw Responses'!M12="","",5-'SUS Raw Responses'!M12)</f>
        <v/>
      </c>
      <c r="N11" s="38">
        <f>IF(COUNTA(D11,E11,F11,G11,H11,I11,J11,K11,L11,M11)=10,SUM(D11,E11,F11,G11,H11,I11,J11,K11,L11,M11),"")</f>
        <v/>
      </c>
      <c r="O11" s="39">
        <f>IF(N11="","",N11*2.5)</f>
        <v/>
      </c>
    </row>
    <row r="12" ht="19.5" customHeight="1" s="54">
      <c r="A12" s="23" t="n">
        <v>9</v>
      </c>
      <c r="B12" s="29" t="inlineStr">
        <is>
          <t>P9</t>
        </is>
      </c>
      <c r="C12" s="23" t="inlineStr">
        <is>
          <t>Tenant Representative</t>
        </is>
      </c>
      <c r="D12" s="30">
        <f>IF('SUS Raw Responses'!D13="","",'SUS Raw Responses'!D13-1)</f>
        <v/>
      </c>
      <c r="E12" s="37">
        <f>IF('SUS Raw Responses'!E13="","",5-'SUS Raw Responses'!E13)</f>
        <v/>
      </c>
      <c r="F12" s="30">
        <f>IF('SUS Raw Responses'!F13="","",'SUS Raw Responses'!F13-1)</f>
        <v/>
      </c>
      <c r="G12" s="37">
        <f>IF('SUS Raw Responses'!G13="","",5-'SUS Raw Responses'!G13)</f>
        <v/>
      </c>
      <c r="H12" s="30">
        <f>IF('SUS Raw Responses'!H13="","",'SUS Raw Responses'!H13-1)</f>
        <v/>
      </c>
      <c r="I12" s="37">
        <f>IF('SUS Raw Responses'!I13="","",5-'SUS Raw Responses'!I13)</f>
        <v/>
      </c>
      <c r="J12" s="30">
        <f>IF('SUS Raw Responses'!J13="","",'SUS Raw Responses'!J13-1)</f>
        <v/>
      </c>
      <c r="K12" s="37">
        <f>IF('SUS Raw Responses'!K13="","",5-'SUS Raw Responses'!K13)</f>
        <v/>
      </c>
      <c r="L12" s="30">
        <f>IF('SUS Raw Responses'!L13="","",'SUS Raw Responses'!L13-1)</f>
        <v/>
      </c>
      <c r="M12" s="37">
        <f>IF('SUS Raw Responses'!M13="","",5-'SUS Raw Responses'!M13)</f>
        <v/>
      </c>
      <c r="N12" s="38">
        <f>IF(COUNTA(D12,E12,F12,G12,H12,I12,J12,K12,L12,M12)=10,SUM(D12,E12,F12,G12,H12,I12,J12,K12,L12,M12),"")</f>
        <v/>
      </c>
      <c r="O12" s="39">
        <f>IF(N12="","",N12*2.5)</f>
        <v/>
      </c>
    </row>
    <row r="13">
      <c r="A13" s="23" t="n">
        <v>10</v>
      </c>
      <c r="B13" s="29" t="inlineStr">
        <is>
          <t>P10</t>
        </is>
      </c>
      <c r="C13" s="23" t="inlineStr">
        <is>
          <t>Operations Staff</t>
        </is>
      </c>
      <c r="D13" s="30">
        <f>IF('SUS Raw Responses'!D14="","",'SUS Raw Responses'!D14-1)</f>
        <v/>
      </c>
      <c r="E13" s="37">
        <f>IF('SUS Raw Responses'!E14="","",5-'SUS Raw Responses'!E14)</f>
        <v/>
      </c>
      <c r="F13" s="30">
        <f>IF('SUS Raw Responses'!F14="","",'SUS Raw Responses'!F14-1)</f>
        <v/>
      </c>
      <c r="G13" s="37">
        <f>IF('SUS Raw Responses'!G14="","",5-'SUS Raw Responses'!G14)</f>
        <v/>
      </c>
      <c r="H13" s="30">
        <f>IF('SUS Raw Responses'!H14="","",'SUS Raw Responses'!H14-1)</f>
        <v/>
      </c>
      <c r="I13" s="37">
        <f>IF('SUS Raw Responses'!I14="","",5-'SUS Raw Responses'!I14)</f>
        <v/>
      </c>
      <c r="J13" s="30">
        <f>IF('SUS Raw Responses'!J14="","",'SUS Raw Responses'!J14-1)</f>
        <v/>
      </c>
      <c r="K13" s="37">
        <f>IF('SUS Raw Responses'!K14="","",5-'SUS Raw Responses'!K14)</f>
        <v/>
      </c>
      <c r="L13" s="30">
        <f>IF('SUS Raw Responses'!L14="","",'SUS Raw Responses'!L14-1)</f>
        <v/>
      </c>
      <c r="M13" s="37">
        <f>IF('SUS Raw Responses'!M14="","",5-'SUS Raw Responses'!M14)</f>
        <v/>
      </c>
      <c r="N13" s="38">
        <f>IF(COUNTA(D13,E13,F13,G13,H13,I13,J13,K13,L13,M13)=10,SUM(D13,E13,F13,G13,H13,I13,J13,K13,L13,M13),"")</f>
        <v/>
      </c>
      <c r="O13" s="39">
        <f>IF(N13="","",N13*2.5)</f>
        <v/>
      </c>
    </row>
    <row r="14" ht="24" customHeight="1" s="54">
      <c r="A14" s="23" t="n">
        <v>11</v>
      </c>
      <c r="B14" s="29" t="inlineStr">
        <is>
          <t>P11</t>
        </is>
      </c>
      <c r="C14" s="23" t="inlineStr">
        <is>
          <t>Operations Staff</t>
        </is>
      </c>
      <c r="D14" s="30">
        <f>IF('SUS Raw Responses'!D15="","",'SUS Raw Responses'!D15-1)</f>
        <v/>
      </c>
      <c r="E14" s="37">
        <f>IF('SUS Raw Responses'!E15="","",5-'SUS Raw Responses'!E15)</f>
        <v/>
      </c>
      <c r="F14" s="30">
        <f>IF('SUS Raw Responses'!F15="","",'SUS Raw Responses'!F15-1)</f>
        <v/>
      </c>
      <c r="G14" s="37">
        <f>IF('SUS Raw Responses'!G15="","",5-'SUS Raw Responses'!G15)</f>
        <v/>
      </c>
      <c r="H14" s="30">
        <f>IF('SUS Raw Responses'!H15="","",'SUS Raw Responses'!H15-1)</f>
        <v/>
      </c>
      <c r="I14" s="37">
        <f>IF('SUS Raw Responses'!I15="","",5-'SUS Raw Responses'!I15)</f>
        <v/>
      </c>
      <c r="J14" s="30">
        <f>IF('SUS Raw Responses'!J15="","",'SUS Raw Responses'!J15-1)</f>
        <v/>
      </c>
      <c r="K14" s="37">
        <f>IF('SUS Raw Responses'!K15="","",5-'SUS Raw Responses'!K15)</f>
        <v/>
      </c>
      <c r="L14" s="30">
        <f>IF('SUS Raw Responses'!L15="","",'SUS Raw Responses'!L15-1)</f>
        <v/>
      </c>
      <c r="M14" s="37">
        <f>IF('SUS Raw Responses'!M15="","",5-'SUS Raw Responses'!M15)</f>
        <v/>
      </c>
      <c r="N14" s="38">
        <f>IF(COUNTA(D14,E14,F14,G14,H14,I14,J14,K14,L14,M14)=10,SUM(D14,E14,F14,G14,H14,I14,J14,K14,L14,M14),"")</f>
        <v/>
      </c>
      <c r="O14" s="39">
        <f>IF(N14="","",N14*2.5)</f>
        <v/>
      </c>
      <c r="P14" s="90" t="n"/>
    </row>
    <row r="15">
      <c r="A15" s="23" t="n">
        <v>12</v>
      </c>
      <c r="B15" s="29" t="inlineStr">
        <is>
          <t>P12</t>
        </is>
      </c>
      <c r="C15" s="23" t="inlineStr">
        <is>
          <t>Tenant Representative</t>
        </is>
      </c>
      <c r="D15" s="30">
        <f>IF('SUS Raw Responses'!D16="","",'SUS Raw Responses'!D16-1)</f>
        <v/>
      </c>
      <c r="E15" s="37">
        <f>IF('SUS Raw Responses'!E16="","",5-'SUS Raw Responses'!E16)</f>
        <v/>
      </c>
      <c r="F15" s="30">
        <f>IF('SUS Raw Responses'!F16="","",'SUS Raw Responses'!F16-1)</f>
        <v/>
      </c>
      <c r="G15" s="37">
        <f>IF('SUS Raw Responses'!G16="","",5-'SUS Raw Responses'!G16)</f>
        <v/>
      </c>
      <c r="H15" s="30">
        <f>IF('SUS Raw Responses'!H16="","",'SUS Raw Responses'!H16-1)</f>
        <v/>
      </c>
      <c r="I15" s="37">
        <f>IF('SUS Raw Responses'!I16="","",5-'SUS Raw Responses'!I16)</f>
        <v/>
      </c>
      <c r="J15" s="30">
        <f>IF('SUS Raw Responses'!J16="","",'SUS Raw Responses'!J16-1)</f>
        <v/>
      </c>
      <c r="K15" s="37">
        <f>IF('SUS Raw Responses'!K16="","",5-'SUS Raw Responses'!K16)</f>
        <v/>
      </c>
      <c r="L15" s="30">
        <f>IF('SUS Raw Responses'!L16="","",'SUS Raw Responses'!L16-1)</f>
        <v/>
      </c>
      <c r="M15" s="37">
        <f>IF('SUS Raw Responses'!M16="","",5-'SUS Raw Responses'!M16)</f>
        <v/>
      </c>
      <c r="N15" s="38">
        <f>IF(COUNTA(D15,E15,F15,G15,H15,I15,J15,K15,L15,M15)=10,SUM(D15,E15,F15,G15,H15,I15,J15,K15,L15,M15),"")</f>
        <v/>
      </c>
      <c r="O15" s="39">
        <f>IF(N15="","",N15*2.5)</f>
        <v/>
      </c>
      <c r="P15" s="90" t="n"/>
      <c r="Q15" s="90" t="n"/>
    </row>
    <row r="16">
      <c r="A16" s="91" t="inlineStr">
        <is>
          <t>MEAN SUS SCORE</t>
        </is>
      </c>
      <c r="B16" s="29" t="n"/>
      <c r="C16" s="23" t="n"/>
      <c r="D16" s="30" t="n"/>
      <c r="E16" s="37" t="n"/>
      <c r="F16" s="30" t="n"/>
      <c r="G16" s="37" t="n"/>
      <c r="H16" s="30" t="n"/>
      <c r="I16" s="37" t="n"/>
      <c r="J16" s="30" t="n"/>
      <c r="K16" s="37" t="n"/>
      <c r="L16" s="30" t="n"/>
      <c r="M16" s="37" t="n"/>
      <c r="N16" s="38" t="n"/>
      <c r="O16" s="39">
        <f>IF(COUNTA(O4:O15)=12,AVERAGE(O4:O15),"")</f>
        <v/>
      </c>
      <c r="P16" s="90" t="n"/>
      <c r="Q16" s="90" t="n"/>
      <c r="R16" s="90" t="n"/>
    </row>
    <row r="21" ht="15.75" customHeight="1" s="54"/>
    <row r="22" ht="15.75" customHeight="1" s="54"/>
    <row r="23" ht="15.75" customHeight="1" s="54"/>
    <row r="24" ht="15.75" customHeight="1" s="54"/>
    <row r="25" ht="15.75" customHeight="1" s="54"/>
    <row r="26" ht="15.75" customHeight="1" s="54"/>
    <row r="27" ht="15.75" customHeight="1" s="54"/>
    <row r="28" ht="15.75" customHeight="1" s="54"/>
    <row r="29" ht="15.75" customHeight="1" s="54"/>
    <row r="30" ht="15.75" customHeight="1" s="54"/>
    <row r="31" ht="15.75" customHeight="1" s="54"/>
    <row r="32" ht="15.75" customHeight="1" s="54"/>
    <row r="33" ht="15.75" customHeight="1" s="54"/>
    <row r="34" ht="15.75" customHeight="1" s="54"/>
    <row r="35" ht="15.75" customHeight="1" s="54"/>
    <row r="36" ht="15.75" customHeight="1" s="54"/>
    <row r="37" ht="15.75" customHeight="1" s="54"/>
    <row r="38" ht="15.75" customHeight="1" s="54"/>
    <row r="39" ht="15.75" customHeight="1" s="54"/>
    <row r="40" ht="15.75" customHeight="1" s="54"/>
    <row r="41" ht="15.75" customHeight="1" s="54"/>
    <row r="42" ht="15.75" customHeight="1" s="54"/>
    <row r="43" ht="15.75" customHeight="1" s="54"/>
    <row r="44" ht="15.75" customHeight="1" s="54"/>
    <row r="45" ht="15.75" customHeight="1" s="54"/>
    <row r="46" ht="15.75" customHeight="1" s="54"/>
    <row r="47" ht="15.75" customHeight="1" s="54"/>
    <row r="48" ht="15.75" customHeight="1" s="54"/>
    <row r="49" ht="15.75" customHeight="1" s="54"/>
    <row r="50" ht="15.75" customHeight="1" s="54"/>
    <row r="51" ht="15.75" customHeight="1" s="54"/>
    <row r="52" ht="15.75" customHeight="1" s="54"/>
    <row r="53" ht="15.75" customHeight="1" s="54"/>
    <row r="54" ht="15.75" customHeight="1" s="54"/>
    <row r="55" ht="15.75" customHeight="1" s="54"/>
    <row r="56" ht="15.75" customHeight="1" s="54"/>
    <row r="57" ht="15.75" customHeight="1" s="54"/>
    <row r="58" ht="15.75" customHeight="1" s="54"/>
    <row r="59" ht="15.75" customHeight="1" s="54"/>
    <row r="60" ht="15.75" customHeight="1" s="54"/>
    <row r="61" ht="15.75" customHeight="1" s="54"/>
    <row r="62" ht="15.75" customHeight="1" s="54"/>
    <row r="63" ht="15.75" customHeight="1" s="54"/>
    <row r="64" ht="15.75" customHeight="1" s="54"/>
    <row r="65" ht="15.75" customHeight="1" s="54"/>
    <row r="66" ht="15.75" customHeight="1" s="54"/>
    <row r="67" ht="15.75" customHeight="1" s="54"/>
    <row r="68" ht="15.75" customHeight="1" s="54"/>
    <row r="69" ht="15.75" customHeight="1" s="54"/>
    <row r="70" ht="15.75" customHeight="1" s="54"/>
    <row r="71" ht="15.75" customHeight="1" s="54"/>
    <row r="72" ht="15.75" customHeight="1" s="54"/>
    <row r="73" ht="15.75" customHeight="1" s="54"/>
    <row r="74" ht="15.75" customHeight="1" s="54"/>
    <row r="75" ht="15.75" customHeight="1" s="54"/>
    <row r="76" ht="15.75" customHeight="1" s="54"/>
    <row r="77" ht="15.75" customHeight="1" s="54"/>
    <row r="78" ht="15.75" customHeight="1" s="54"/>
    <row r="79" ht="15.75" customHeight="1" s="54"/>
    <row r="80" ht="15.75" customHeight="1" s="54"/>
    <row r="81" ht="15.75" customHeight="1" s="54"/>
    <row r="82" ht="15.75" customHeight="1" s="54"/>
    <row r="83" ht="15.75" customHeight="1" s="54"/>
    <row r="84" ht="15.75" customHeight="1" s="54"/>
    <row r="85" ht="15.75" customHeight="1" s="54"/>
    <row r="86" ht="15.75" customHeight="1" s="54"/>
    <row r="87" ht="15.75" customHeight="1" s="54"/>
    <row r="88" ht="15.75" customHeight="1" s="54"/>
    <row r="89" ht="15.75" customHeight="1" s="54"/>
    <row r="90" ht="15.75" customHeight="1" s="54"/>
    <row r="91" ht="15.75" customHeight="1" s="54"/>
    <row r="92" ht="15.75" customHeight="1" s="54"/>
    <row r="93" ht="15.75" customHeight="1" s="54"/>
    <row r="94" ht="15.75" customHeight="1" s="54"/>
    <row r="95" ht="15.75" customHeight="1" s="54"/>
    <row r="96" ht="15.75" customHeight="1" s="54"/>
    <row r="97" ht="15.75" customHeight="1" s="54"/>
    <row r="98" ht="15.75" customHeight="1" s="54"/>
    <row r="99" ht="15.75" customHeight="1" s="54"/>
    <row r="100" ht="15.75" customHeight="1" s="54"/>
    <row r="101" ht="15.75" customHeight="1" s="54"/>
    <row r="102" ht="15.75" customHeight="1" s="54"/>
    <row r="103" ht="15.75" customHeight="1" s="54"/>
    <row r="104" ht="15.75" customHeight="1" s="54"/>
    <row r="105" ht="15.75" customHeight="1" s="54"/>
    <row r="106" ht="15.75" customHeight="1" s="54"/>
    <row r="107" ht="15.75" customHeight="1" s="54"/>
    <row r="108" ht="15.75" customHeight="1" s="54"/>
    <row r="109" ht="15.75" customHeight="1" s="54"/>
    <row r="110" ht="15.75" customHeight="1" s="54"/>
    <row r="111" ht="15.75" customHeight="1" s="54"/>
    <row r="112" ht="15.75" customHeight="1" s="54"/>
    <row r="113" ht="15.75" customHeight="1" s="54"/>
    <row r="114" ht="15.75" customHeight="1" s="54"/>
    <row r="115" ht="15.75" customHeight="1" s="54"/>
    <row r="116" ht="15.75" customHeight="1" s="54"/>
    <row r="117" ht="15.75" customHeight="1" s="54"/>
    <row r="118" ht="15.75" customHeight="1" s="54"/>
    <row r="119" ht="15.75" customHeight="1" s="54"/>
    <row r="120" ht="15.75" customHeight="1" s="54"/>
    <row r="121" ht="15.75" customHeight="1" s="54"/>
    <row r="122" ht="15.75" customHeight="1" s="54"/>
    <row r="123" ht="15.75" customHeight="1" s="54"/>
    <row r="124" ht="15.75" customHeight="1" s="54"/>
    <row r="125" ht="15.75" customHeight="1" s="54"/>
    <row r="126" ht="15.75" customHeight="1" s="54"/>
    <row r="127" ht="15.75" customHeight="1" s="54"/>
    <row r="128" ht="15.75" customHeight="1" s="54"/>
    <row r="129" ht="15.75" customHeight="1" s="54"/>
    <row r="130" ht="15.75" customHeight="1" s="54"/>
    <row r="131" ht="15.75" customHeight="1" s="54"/>
    <row r="132" ht="15.75" customHeight="1" s="54"/>
    <row r="133" ht="15.75" customHeight="1" s="54"/>
    <row r="134" ht="15.75" customHeight="1" s="54"/>
    <row r="135" ht="15.75" customHeight="1" s="54"/>
    <row r="136" ht="15.75" customHeight="1" s="54"/>
    <row r="137" ht="15.75" customHeight="1" s="54"/>
    <row r="138" ht="15.75" customHeight="1" s="54"/>
    <row r="139" ht="15.75" customHeight="1" s="54"/>
    <row r="140" ht="15.75" customHeight="1" s="54"/>
    <row r="141" ht="15.75" customHeight="1" s="54"/>
    <row r="142" ht="15.75" customHeight="1" s="54"/>
    <row r="143" ht="15.75" customHeight="1" s="54"/>
    <row r="144" ht="15.75" customHeight="1" s="54"/>
    <row r="145" ht="15.75" customHeight="1" s="54"/>
    <row r="146" ht="15.75" customHeight="1" s="54"/>
    <row r="147" ht="15.75" customHeight="1" s="54"/>
    <row r="148" ht="15.75" customHeight="1" s="54"/>
    <row r="149" ht="15.75" customHeight="1" s="54"/>
    <row r="150" ht="15.75" customHeight="1" s="54"/>
    <row r="151" ht="15.75" customHeight="1" s="54"/>
    <row r="152" ht="15.75" customHeight="1" s="54"/>
    <row r="153" ht="15.75" customHeight="1" s="54"/>
    <row r="154" ht="15.75" customHeight="1" s="54"/>
    <row r="155" ht="15.75" customHeight="1" s="54"/>
    <row r="156" ht="15.75" customHeight="1" s="54"/>
    <row r="157" ht="15.75" customHeight="1" s="54"/>
    <row r="158" ht="15.75" customHeight="1" s="54"/>
    <row r="159" ht="15.75" customHeight="1" s="54"/>
    <row r="160" ht="15.75" customHeight="1" s="54"/>
    <row r="161" ht="15.75" customHeight="1" s="54"/>
    <row r="162" ht="15.75" customHeight="1" s="54"/>
    <row r="163" ht="15.75" customHeight="1" s="54"/>
    <row r="164" ht="15.75" customHeight="1" s="54"/>
    <row r="165" ht="15.75" customHeight="1" s="54"/>
    <row r="166" ht="15.75" customHeight="1" s="54"/>
    <row r="167" ht="15.75" customHeight="1" s="54"/>
    <row r="168" ht="15.75" customHeight="1" s="54"/>
    <row r="169" ht="15.75" customHeight="1" s="54"/>
    <row r="170" ht="15.75" customHeight="1" s="54"/>
    <row r="171" ht="15.75" customHeight="1" s="54"/>
    <row r="172" ht="15.75" customHeight="1" s="54"/>
    <row r="173" ht="15.75" customHeight="1" s="54"/>
    <row r="174" ht="15.75" customHeight="1" s="54"/>
    <row r="175" ht="15.75" customHeight="1" s="54"/>
    <row r="176" ht="15.75" customHeight="1" s="54"/>
    <row r="177" ht="15.75" customHeight="1" s="54"/>
    <row r="178" ht="15.75" customHeight="1" s="54"/>
    <row r="179" ht="15.75" customHeight="1" s="54"/>
    <row r="180" ht="15.75" customHeight="1" s="54"/>
    <row r="181" ht="15.75" customHeight="1" s="54"/>
    <row r="182" ht="15.75" customHeight="1" s="54"/>
    <row r="183" ht="15.75" customHeight="1" s="54"/>
    <row r="184" ht="15.75" customHeight="1" s="54"/>
    <row r="185" ht="15.75" customHeight="1" s="54"/>
    <row r="186" ht="15.75" customHeight="1" s="54"/>
    <row r="187" ht="15.75" customHeight="1" s="54"/>
    <row r="188" ht="15.75" customHeight="1" s="54"/>
    <row r="189" ht="15.75" customHeight="1" s="54"/>
    <row r="190" ht="15.75" customHeight="1" s="54"/>
    <row r="191" ht="15.75" customHeight="1" s="54"/>
    <row r="192" ht="15.75" customHeight="1" s="54"/>
    <row r="193" ht="15.75" customHeight="1" s="54"/>
    <row r="194" ht="15.75" customHeight="1" s="54"/>
    <row r="195" ht="15.75" customHeight="1" s="54"/>
    <row r="196" ht="15.75" customHeight="1" s="54"/>
    <row r="197" ht="15.75" customHeight="1" s="54"/>
    <row r="198" ht="15.75" customHeight="1" s="54"/>
    <row r="199" ht="15.75" customHeight="1" s="54"/>
    <row r="200" ht="15.75" customHeight="1" s="54"/>
    <row r="201" ht="15.75" customHeight="1" s="54"/>
    <row r="202" ht="15.75" customHeight="1" s="54"/>
    <row r="203" ht="15.75" customHeight="1" s="54"/>
    <row r="204" ht="15.75" customHeight="1" s="54"/>
    <row r="205" ht="15.75" customHeight="1" s="54"/>
    <row r="206" ht="15.75" customHeight="1" s="54"/>
    <row r="207" ht="15.75" customHeight="1" s="54"/>
    <row r="208" ht="15.75" customHeight="1" s="54"/>
    <row r="209" ht="15.75" customHeight="1" s="54"/>
    <row r="210" ht="15.75" customHeight="1" s="54"/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4">
    <mergeCell ref="C2:C3"/>
    <mergeCell ref="A1:O1"/>
    <mergeCell ref="A2:A3"/>
    <mergeCell ref="B2:B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ColWidth="14.453125" defaultRowHeight="15" customHeight="1"/>
  <cols>
    <col width="8" customWidth="1" style="54" min="1" max="1"/>
    <col width="10" customWidth="1" style="54" min="2" max="2"/>
    <col width="28" customWidth="1" style="54" min="3" max="3"/>
    <col width="16" customWidth="1" style="54" min="4" max="4"/>
    <col width="14" customWidth="1" style="54" min="5" max="5"/>
    <col width="18" customWidth="1" style="54" min="6" max="6"/>
    <col width="20" customWidth="1" style="54" min="7" max="7"/>
    <col width="8.7265625" customWidth="1" style="54" min="8" max="26"/>
  </cols>
  <sheetData>
    <row r="1" ht="31.5" customHeight="1" s="54">
      <c r="A1" s="81" t="inlineStr">
        <is>
          <t>SUS Evaluation — Summary of Results | IPDC-OSS Platform</t>
        </is>
      </c>
    </row>
    <row r="2" ht="19.5" customHeight="1" s="54">
      <c r="A2" s="22" t="inlineStr">
        <is>
          <t>#</t>
        </is>
      </c>
      <c r="B2" s="22" t="inlineStr">
        <is>
          <t>ID</t>
        </is>
      </c>
      <c r="C2" s="22" t="inlineStr">
        <is>
          <t>Role</t>
        </is>
      </c>
      <c r="D2" s="22" t="inlineStr">
        <is>
          <t>Device</t>
        </is>
      </c>
      <c r="E2" s="22" t="inlineStr">
        <is>
          <t>SUS Score</t>
        </is>
      </c>
      <c r="F2" s="22" t="inlineStr">
        <is>
          <t>Grade</t>
        </is>
      </c>
      <c r="G2" s="22" t="inlineStr">
        <is>
          <t>Interpretation</t>
        </is>
      </c>
    </row>
    <row r="3" ht="19.5" customHeight="1" s="54">
      <c r="A3" s="23" t="n">
        <v>1</v>
      </c>
      <c r="B3" s="29" t="inlineStr">
        <is>
          <t>P1</t>
        </is>
      </c>
      <c r="C3" s="23" t="inlineStr">
        <is>
          <t>IPDC Management Staff</t>
        </is>
      </c>
      <c r="D3" s="23" t="inlineStr">
        <is>
          <t>Smartphone (Chrome)</t>
        </is>
      </c>
      <c r="E3" s="43">
        <f>'SUS Score Calculation'!O4</f>
        <v/>
      </c>
      <c r="F3" s="30">
        <f>IF(E3="","",IF(E3&gt;85.5,"A",IF(E3&gt;=72.6,"B",IF(E3&gt;=52,"C",IF(E3&gt;=51.7,"D","F")))))</f>
        <v/>
      </c>
      <c r="G3" s="23">
        <f>IF(E3="","",IF(E3&gt;85.5,"Excellent",IF(E3&gt;=72.6,"Good",IF(E3&gt;=52,"OK",IF(E3&gt;=51.7,"Poor","Awful")))))</f>
        <v/>
      </c>
    </row>
    <row r="4" ht="19.5" customHeight="1" s="54">
      <c r="A4" s="24" t="n">
        <v>2</v>
      </c>
      <c r="B4" s="31" t="inlineStr">
        <is>
          <t>P2</t>
        </is>
      </c>
      <c r="C4" s="24" t="inlineStr">
        <is>
          <t>Tenant Representative</t>
        </is>
      </c>
      <c r="D4" s="24" t="inlineStr">
        <is>
          <t>Desktop Computer ( Opera)</t>
        </is>
      </c>
      <c r="E4" s="43">
        <f>'SUS Score Calculation'!O5</f>
        <v/>
      </c>
      <c r="F4" s="40">
        <f>IF(E4="","",IF(E4&gt;85.5,"A",IF(E4&gt;=72.6,"B",IF(E4&gt;=52,"C",IF(E4&gt;=51.7,"D","F")))))</f>
        <v/>
      </c>
      <c r="G4" s="24">
        <f>IF(E4="","",IF(E4&gt;85.5,"Excellent",IF(E4&gt;=72.6,"Good",IF(E4&gt;=52,"OK",IF(E4&gt;=51.7,"Poor","Awful")))))</f>
        <v/>
      </c>
    </row>
    <row r="5" ht="19.5" customHeight="1" s="54">
      <c r="A5" s="23" t="n">
        <v>3</v>
      </c>
      <c r="B5" s="29" t="inlineStr">
        <is>
          <t>P3</t>
        </is>
      </c>
      <c r="C5" s="23" t="inlineStr">
        <is>
          <t>IPDC Management Staff</t>
        </is>
      </c>
      <c r="D5" s="23" t="inlineStr">
        <is>
          <t>Laptop (Chrome)</t>
        </is>
      </c>
      <c r="E5" s="43">
        <f>'SUS Score Calculation'!O6</f>
        <v/>
      </c>
      <c r="F5" s="30">
        <f>IF(E5="","",IF(E5&gt;85.5,"A",IF(E5&gt;=72.6,"B",IF(E5&gt;=52,"C",IF(E5&gt;=51.7,"D","F")))))</f>
        <v/>
      </c>
      <c r="G5" s="23">
        <f>IF(E5="","",IF(E5&gt;85.5,"Excellent",IF(E5&gt;=72.6,"Good",IF(E5&gt;=52,"OK",IF(E5&gt;=51.7,"Poor","Awful")))))</f>
        <v/>
      </c>
    </row>
    <row r="6" ht="19.5" customHeight="1" s="54">
      <c r="A6" s="24" t="n">
        <v>4</v>
      </c>
      <c r="B6" s="31" t="inlineStr">
        <is>
          <t>P4</t>
        </is>
      </c>
      <c r="C6" s="24" t="inlineStr">
        <is>
          <t>Operations Staff</t>
        </is>
      </c>
      <c r="D6" s="24" t="inlineStr">
        <is>
          <t>Laptop (Chrome)</t>
        </is>
      </c>
      <c r="E6" s="43">
        <f>'SUS Score Calculation'!O7</f>
        <v/>
      </c>
      <c r="F6" s="40">
        <f>IF(E6="","",IF(E6&gt;85.5,"A",IF(E6&gt;=72.6,"B",IF(E6&gt;=52,"C",IF(E6&gt;=51.7,"D","F")))))</f>
        <v/>
      </c>
      <c r="G6" s="24">
        <f>IF(E6="","",IF(E6&gt;85.5,"Excellent",IF(E6&gt;=72.6,"Good",IF(E6&gt;=52,"OK",IF(E6&gt;=51.7,"Poor","Awful")))))</f>
        <v/>
      </c>
    </row>
    <row r="7" ht="19.5" customHeight="1" s="54">
      <c r="A7" s="23" t="n">
        <v>5</v>
      </c>
      <c r="B7" s="29" t="inlineStr">
        <is>
          <t>P5</t>
        </is>
      </c>
      <c r="C7" s="23" t="inlineStr">
        <is>
          <t>IPDC Management Staff</t>
        </is>
      </c>
      <c r="D7" s="23" t="inlineStr">
        <is>
          <t>Laptop (Chrome)</t>
        </is>
      </c>
      <c r="E7" s="43">
        <f>'SUS Score Calculation'!O8</f>
        <v/>
      </c>
      <c r="F7" s="30">
        <f>IF(E7="","",IF(E7&gt;85.5,"A",IF(E7&gt;=72.6,"B",IF(E7&gt;=52,"C",IF(E7&gt;=51.7,"D","F")))))</f>
        <v/>
      </c>
      <c r="G7" s="23">
        <f>IF(E7="","",IF(E7&gt;85.5,"Excellent",IF(E7&gt;=72.6,"Good",IF(E7&gt;=52,"OK",IF(E7&gt;=51.7,"Poor","Awful")))))</f>
        <v/>
      </c>
    </row>
    <row r="8" ht="19.5" customHeight="1" s="54">
      <c r="A8" s="24" t="n">
        <v>6</v>
      </c>
      <c r="B8" s="31" t="inlineStr">
        <is>
          <t>P6</t>
        </is>
      </c>
      <c r="C8" s="24" t="inlineStr">
        <is>
          <t>Operations Staff</t>
        </is>
      </c>
      <c r="D8" s="24" t="inlineStr">
        <is>
          <t>Laptop (Chrome)</t>
        </is>
      </c>
      <c r="E8" s="43">
        <f>'SUS Score Calculation'!O9</f>
        <v/>
      </c>
      <c r="F8" s="40">
        <f>IF(E8="","",IF(E8&gt;85.5,"A",IF(E8&gt;=72.6,"B",IF(E8&gt;=52,"C",IF(E8&gt;=51.7,"D","F")))))</f>
        <v/>
      </c>
      <c r="G8" s="24">
        <f>IF(E8="","",IF(E8&gt;85.5,"Excellent",IF(E8&gt;=72.6,"Good",IF(E8&gt;=52,"OK",IF(E8&gt;=51.7,"Poor","Awful")))))</f>
        <v/>
      </c>
    </row>
    <row r="9" ht="19.5" customHeight="1" s="54">
      <c r="A9" s="23" t="n">
        <v>7</v>
      </c>
      <c r="B9" s="29" t="inlineStr">
        <is>
          <t>P7</t>
        </is>
      </c>
      <c r="C9" s="23" t="inlineStr">
        <is>
          <t>Operations Staff</t>
        </is>
      </c>
      <c r="D9" s="23" t="inlineStr">
        <is>
          <t>Laptop (Chrome)</t>
        </is>
      </c>
      <c r="E9" s="43">
        <f>'SUS Score Calculation'!O10</f>
        <v/>
      </c>
      <c r="F9" s="30">
        <f>IF(E9="","",IF(E9&gt;85.5,"A",IF(E9&gt;=72.6,"B",IF(E9&gt;=52,"C",IF(E9&gt;=51.7,"D","F")))))</f>
        <v/>
      </c>
      <c r="G9" s="23">
        <f>IF(E9="","",IF(E9&gt;85.5,"Excellent",IF(E9&gt;=72.6,"Good",IF(E9&gt;=52,"OK",IF(E9&gt;=51.7,"Poor","Awful")))))</f>
        <v/>
      </c>
    </row>
    <row r="10" ht="19.5" customHeight="1" s="54">
      <c r="A10" s="24" t="n">
        <v>8</v>
      </c>
      <c r="B10" s="31" t="inlineStr">
        <is>
          <t>P8</t>
        </is>
      </c>
      <c r="C10" s="24" t="inlineStr">
        <is>
          <t>Operations Staff</t>
        </is>
      </c>
      <c r="D10" s="24" t="inlineStr">
        <is>
          <t>Desktop Computer (Chrome)</t>
        </is>
      </c>
      <c r="E10" s="43">
        <f>'SUS Score Calculation'!O11</f>
        <v/>
      </c>
      <c r="F10" s="40">
        <f>IF(E10="","",IF(E10&gt;85.5,"A",IF(E10&gt;=72.6,"B",IF(E10&gt;=52,"C",IF(E10&gt;=51.7,"D","F")))))</f>
        <v/>
      </c>
      <c r="G10" s="24">
        <f>IF(E10="","",IF(E10&gt;85.5,"Excellent",IF(E10&gt;=72.6,"Good",IF(E10&gt;=52,"OK",IF(E10&gt;=51.7,"Poor","Awful")))))</f>
        <v/>
      </c>
    </row>
    <row r="11" ht="19.5" customHeight="1" s="54">
      <c r="A11" s="23" t="n">
        <v>9</v>
      </c>
      <c r="B11" s="29" t="inlineStr">
        <is>
          <t>P9</t>
        </is>
      </c>
      <c r="C11" s="23" t="inlineStr">
        <is>
          <t>Tenant Representative</t>
        </is>
      </c>
      <c r="D11" s="23" t="inlineStr">
        <is>
          <t>Smartphone (Opera)</t>
        </is>
      </c>
      <c r="E11" s="43">
        <f>'SUS Score Calculation'!O12</f>
        <v/>
      </c>
      <c r="F11" s="30">
        <f>IF(E11="","",IF(E11&gt;85.5,"A",IF(E11&gt;=72.6,"B",IF(E11&gt;=52,"C",IF(E11&gt;=51.7,"D","F")))))</f>
        <v/>
      </c>
      <c r="G11" s="23">
        <f>IF(E11="","",IF(E11&gt;85.5,"Excellent",IF(E11&gt;=72.6,"Good",IF(E11&gt;=52,"OK",IF(E11&gt;=51.7,"Poor","Awful")))))</f>
        <v/>
      </c>
    </row>
    <row r="12">
      <c r="A12" s="23" t="n">
        <v>10</v>
      </c>
      <c r="B12" s="29" t="inlineStr">
        <is>
          <t>P10</t>
        </is>
      </c>
      <c r="C12" s="23" t="inlineStr">
        <is>
          <t>Operations Staff</t>
        </is>
      </c>
      <c r="D12" s="23" t="inlineStr">
        <is>
          <t>Laptop (Chrome)</t>
        </is>
      </c>
      <c r="E12" s="43">
        <f>'SUS Score Calculation'!O13</f>
        <v/>
      </c>
      <c r="F12" s="30">
        <f>IF(E12="","",IF(E12&gt;85.5,"A",IF(E12&gt;=72.6,"B",IF(E12&gt;=52,"C",IF(E12&gt;=51.7,"D","F")))))</f>
        <v/>
      </c>
      <c r="G12" s="23">
        <f>IF(E12="","",IF(E12&gt;85.5,"Excellent",IF(E12&gt;=72.6,"Good",IF(E12&gt;=52,"OK",IF(E12&gt;=51.7,"Poor","Awful")))))</f>
        <v/>
      </c>
    </row>
    <row r="13" ht="25.5" customHeight="1" s="54">
      <c r="A13" s="23" t="n">
        <v>11</v>
      </c>
      <c r="B13" s="29" t="inlineStr">
        <is>
          <t>P11</t>
        </is>
      </c>
      <c r="C13" s="23" t="inlineStr">
        <is>
          <t>Operations Staff</t>
        </is>
      </c>
      <c r="D13" s="23" t="inlineStr">
        <is>
          <t>Laptop (Chrome)</t>
        </is>
      </c>
      <c r="E13" s="43">
        <f>'SUS Score Calculation'!O14</f>
        <v/>
      </c>
      <c r="F13" s="30">
        <f>IF(E13="","",IF(E13&gt;85.5,"A",IF(E13&gt;=72.6,"B",IF(E13&gt;=52,"C",IF(E13&gt;=51.7,"D","F")))))</f>
        <v/>
      </c>
      <c r="G13" s="23">
        <f>IF(E13="","",IF(E13&gt;85.5,"Excellent",IF(E13&gt;=72.6,"Good",IF(E13&gt;=52,"OK",IF(E13&gt;=51.7,"Poor","Awful")))))</f>
        <v/>
      </c>
      <c r="H13" s="90" t="n"/>
    </row>
    <row r="14">
      <c r="A14" s="23" t="n">
        <v>12</v>
      </c>
      <c r="B14" s="29" t="inlineStr">
        <is>
          <t>P12</t>
        </is>
      </c>
      <c r="C14" s="23" t="inlineStr">
        <is>
          <t>Tenant Representative</t>
        </is>
      </c>
      <c r="D14" s="23" t="inlineStr">
        <is>
          <t>Smartphone (Chrome)</t>
        </is>
      </c>
      <c r="E14" s="43">
        <f>'SUS Score Calculation'!O15</f>
        <v/>
      </c>
      <c r="F14" s="30">
        <f>IF(E14="","",IF(E14&gt;85.5,"A",IF(E14&gt;=72.6,"B",IF(E14&gt;=52,"C",IF(E14&gt;=51.7,"D","F")))))</f>
        <v/>
      </c>
      <c r="G14" s="23">
        <f>IF(E14="","",IF(E14&gt;85.5,"Excellent",IF(E14&gt;=72.6,"Good",IF(E14&gt;=52,"OK",IF(E14&gt;=51.7,"Poor","Awful")))))</f>
        <v/>
      </c>
      <c r="H14" s="90" t="n"/>
      <c r="I14" s="90" t="n"/>
    </row>
    <row r="15">
      <c r="A15" s="91" t="inlineStr">
        <is>
          <t>MEAN SUS SCORE</t>
        </is>
      </c>
      <c r="B15" s="29" t="n"/>
      <c r="C15" s="23" t="n"/>
      <c r="D15" s="23" t="n"/>
      <c r="E15" s="43">
        <f>AVERAGE(E3:E14)</f>
        <v/>
      </c>
      <c r="F15" s="30">
        <f>IF(E15="","",IF(E15&gt;85.5,"A",IF(E15&gt;=72.6,"B",IF(E15&gt;=52,"C",IF(E15&gt;=51.7,"D","F")))))</f>
        <v/>
      </c>
      <c r="G15" s="23">
        <f>IF(E15="","",IF(E15&gt;85.5,"Excellent",IF(E15&gt;=72.6,"Good",IF(E15&gt;=52,"OK",IF(E15&gt;=51.7,"Poor","Awful")))))</f>
        <v/>
      </c>
      <c r="H15" s="90" t="n"/>
      <c r="I15" s="90" t="n"/>
      <c r="J15" s="90" t="n"/>
    </row>
    <row r="16" ht="15.75" customHeight="1" s="54">
      <c r="A16" s="86" t="inlineStr">
        <is>
          <t>Reference lines: 72.5 = Good threshold | 85.5 = Excellent threshold</t>
        </is>
      </c>
    </row>
    <row r="21" ht="15.75" customHeight="1" s="54"/>
    <row r="22" ht="15.75" customHeight="1" s="54"/>
    <row r="23" ht="15.75" customHeight="1" s="54"/>
    <row r="24" ht="15.75" customHeight="1" s="54"/>
    <row r="25" ht="15.75" customHeight="1" s="54"/>
    <row r="26" ht="15.75" customHeight="1" s="54"/>
    <row r="27" ht="15.75" customHeight="1" s="54"/>
    <row r="28" ht="15.75" customHeight="1" s="54"/>
    <row r="29" ht="15.75" customHeight="1" s="54"/>
    <row r="30" ht="15.75" customHeight="1" s="54"/>
    <row r="31" ht="15.75" customHeight="1" s="54"/>
    <row r="32" ht="15.75" customHeight="1" s="54"/>
    <row r="33" ht="15.75" customHeight="1" s="54"/>
    <row r="34" ht="15.75" customHeight="1" s="54"/>
    <row r="35" ht="15.75" customHeight="1" s="54"/>
    <row r="36" ht="15.75" customHeight="1" s="54"/>
    <row r="37" ht="15.75" customHeight="1" s="54"/>
    <row r="38" ht="15.75" customHeight="1" s="54"/>
    <row r="39" ht="15.75" customHeight="1" s="54"/>
    <row r="40" ht="15.75" customHeight="1" s="54"/>
    <row r="41" ht="15.75" customHeight="1" s="54"/>
    <row r="42" ht="15.75" customHeight="1" s="54"/>
    <row r="43" ht="15.75" customHeight="1" s="54"/>
    <row r="44" ht="15.75" customHeight="1" s="54"/>
    <row r="45" ht="15.75" customHeight="1" s="54"/>
    <row r="46" ht="15.75" customHeight="1" s="54"/>
    <row r="47" ht="15.75" customHeight="1" s="54"/>
    <row r="48" ht="15.75" customHeight="1" s="54"/>
    <row r="49" ht="15.75" customHeight="1" s="54"/>
    <row r="50" ht="15.75" customHeight="1" s="54"/>
    <row r="51" ht="15.75" customHeight="1" s="54"/>
    <row r="52" ht="15.75" customHeight="1" s="54"/>
    <row r="53" ht="15.75" customHeight="1" s="54"/>
    <row r="54" ht="15.75" customHeight="1" s="54"/>
    <row r="55" ht="15.75" customHeight="1" s="54"/>
    <row r="56" ht="15.75" customHeight="1" s="54"/>
    <row r="57" ht="15.75" customHeight="1" s="54"/>
    <row r="58" ht="15.75" customHeight="1" s="54"/>
    <row r="59" ht="15.75" customHeight="1" s="54"/>
    <row r="60" ht="15.75" customHeight="1" s="54"/>
    <row r="61" ht="15.75" customHeight="1" s="54"/>
    <row r="62" ht="15.75" customHeight="1" s="54"/>
    <row r="63" ht="15.75" customHeight="1" s="54"/>
    <row r="64" ht="15.75" customHeight="1" s="54"/>
    <row r="65" ht="15.75" customHeight="1" s="54"/>
    <row r="66" ht="15.75" customHeight="1" s="54"/>
    <row r="67" ht="15.75" customHeight="1" s="54"/>
    <row r="68" ht="15.75" customHeight="1" s="54"/>
    <row r="69" ht="15.75" customHeight="1" s="54"/>
    <row r="70" ht="15.75" customHeight="1" s="54"/>
    <row r="71" ht="15.75" customHeight="1" s="54"/>
    <row r="72" ht="15.75" customHeight="1" s="54"/>
    <row r="73" ht="15.75" customHeight="1" s="54"/>
    <row r="74" ht="15.75" customHeight="1" s="54"/>
    <row r="75" ht="15.75" customHeight="1" s="54"/>
    <row r="76" ht="15.75" customHeight="1" s="54"/>
    <row r="77" ht="15.75" customHeight="1" s="54"/>
    <row r="78" ht="15.75" customHeight="1" s="54"/>
    <row r="79" ht="15.75" customHeight="1" s="54"/>
    <row r="80" ht="15.75" customHeight="1" s="54"/>
    <row r="81" ht="15.75" customHeight="1" s="54"/>
    <row r="82" ht="15.75" customHeight="1" s="54"/>
    <row r="83" ht="15.75" customHeight="1" s="54"/>
    <row r="84" ht="15.75" customHeight="1" s="54"/>
    <row r="85" ht="15.75" customHeight="1" s="54"/>
    <row r="86" ht="15.75" customHeight="1" s="54"/>
    <row r="87" ht="15.75" customHeight="1" s="54"/>
    <row r="88" ht="15.75" customHeight="1" s="54"/>
    <row r="89" ht="15.75" customHeight="1" s="54"/>
    <row r="90" ht="15.75" customHeight="1" s="54"/>
    <row r="91" ht="15.75" customHeight="1" s="54"/>
    <row r="92" ht="15.75" customHeight="1" s="54"/>
    <row r="93" ht="15.75" customHeight="1" s="54"/>
    <row r="94" ht="15.75" customHeight="1" s="54"/>
    <row r="95" ht="15.75" customHeight="1" s="54"/>
    <row r="96" ht="15.75" customHeight="1" s="54"/>
    <row r="97" ht="15.75" customHeight="1" s="54"/>
    <row r="98" ht="15.75" customHeight="1" s="54"/>
    <row r="99" ht="15.75" customHeight="1" s="54"/>
    <row r="100" ht="15.75" customHeight="1" s="54"/>
    <row r="101" ht="15.75" customHeight="1" s="54"/>
    <row r="102" ht="15.75" customHeight="1" s="54"/>
    <row r="103" ht="15.75" customHeight="1" s="54"/>
    <row r="104" ht="15.75" customHeight="1" s="54"/>
    <row r="105" ht="15.75" customHeight="1" s="54"/>
    <row r="106" ht="15.75" customHeight="1" s="54"/>
    <row r="107" ht="15.75" customHeight="1" s="54"/>
    <row r="108" ht="15.75" customHeight="1" s="54"/>
    <row r="109" ht="15.75" customHeight="1" s="54"/>
    <row r="110" ht="15.75" customHeight="1" s="54"/>
    <row r="111" ht="15.75" customHeight="1" s="54"/>
    <row r="112" ht="15.75" customHeight="1" s="54"/>
    <row r="113" ht="15.75" customHeight="1" s="54"/>
    <row r="114" ht="15.75" customHeight="1" s="54"/>
    <row r="115" ht="15.75" customHeight="1" s="54"/>
    <row r="116" ht="15.75" customHeight="1" s="54"/>
    <row r="117" ht="15.75" customHeight="1" s="54"/>
    <row r="118" ht="15.75" customHeight="1" s="54"/>
    <row r="119" ht="15.75" customHeight="1" s="54"/>
    <row r="120" ht="15.75" customHeight="1" s="54"/>
    <row r="121" ht="15.75" customHeight="1" s="54"/>
    <row r="122" ht="15.75" customHeight="1" s="54"/>
    <row r="123" ht="15.75" customHeight="1" s="54"/>
    <row r="124" ht="15.75" customHeight="1" s="54"/>
    <row r="125" ht="15.75" customHeight="1" s="54"/>
    <row r="126" ht="15.75" customHeight="1" s="54"/>
    <row r="127" ht="15.75" customHeight="1" s="54"/>
    <row r="128" ht="15.75" customHeight="1" s="54"/>
    <row r="129" ht="15.75" customHeight="1" s="54"/>
    <row r="130" ht="15.75" customHeight="1" s="54"/>
    <row r="131" ht="15.75" customHeight="1" s="54"/>
    <row r="132" ht="15.75" customHeight="1" s="54"/>
    <row r="133" ht="15.75" customHeight="1" s="54"/>
    <row r="134" ht="15.75" customHeight="1" s="54"/>
    <row r="135" ht="15.75" customHeight="1" s="54"/>
    <row r="136" ht="15.75" customHeight="1" s="54"/>
    <row r="137" ht="15.75" customHeight="1" s="54"/>
    <row r="138" ht="15.75" customHeight="1" s="54"/>
    <row r="139" ht="15.75" customHeight="1" s="54"/>
    <row r="140" ht="15.75" customHeight="1" s="54"/>
    <row r="141" ht="15.75" customHeight="1" s="54"/>
    <row r="142" ht="15.75" customHeight="1" s="54"/>
    <row r="143" ht="15.75" customHeight="1" s="54"/>
    <row r="144" ht="15.75" customHeight="1" s="54"/>
    <row r="145" ht="15.75" customHeight="1" s="54"/>
    <row r="146" ht="15.75" customHeight="1" s="54"/>
    <row r="147" ht="15.75" customHeight="1" s="54"/>
    <row r="148" ht="15.75" customHeight="1" s="54"/>
    <row r="149" ht="15.75" customHeight="1" s="54"/>
    <row r="150" ht="15.75" customHeight="1" s="54"/>
    <row r="151" ht="15.75" customHeight="1" s="54"/>
    <row r="152" ht="15.75" customHeight="1" s="54"/>
    <row r="153" ht="15.75" customHeight="1" s="54"/>
    <row r="154" ht="15.75" customHeight="1" s="54"/>
    <row r="155" ht="15.75" customHeight="1" s="54"/>
    <row r="156" ht="15.75" customHeight="1" s="54"/>
    <row r="157" ht="15.75" customHeight="1" s="54"/>
    <row r="158" ht="15.75" customHeight="1" s="54"/>
    <row r="159" ht="15.75" customHeight="1" s="54"/>
    <row r="160" ht="15.75" customHeight="1" s="54"/>
    <row r="161" ht="15.75" customHeight="1" s="54"/>
    <row r="162" ht="15.75" customHeight="1" s="54"/>
    <row r="163" ht="15.75" customHeight="1" s="54"/>
    <row r="164" ht="15.75" customHeight="1" s="54"/>
    <row r="165" ht="15.75" customHeight="1" s="54"/>
    <row r="166" ht="15.75" customHeight="1" s="54"/>
    <row r="167" ht="15.75" customHeight="1" s="54"/>
    <row r="168" ht="15.75" customHeight="1" s="54"/>
    <row r="169" ht="15.75" customHeight="1" s="54"/>
    <row r="170" ht="15.75" customHeight="1" s="54"/>
    <row r="171" ht="15.75" customHeight="1" s="54"/>
    <row r="172" ht="15.75" customHeight="1" s="54"/>
    <row r="173" ht="15.75" customHeight="1" s="54"/>
    <row r="174" ht="15.75" customHeight="1" s="54"/>
    <row r="175" ht="15.75" customHeight="1" s="54"/>
    <row r="176" ht="15.75" customHeight="1" s="54"/>
    <row r="177" ht="15.75" customHeight="1" s="54"/>
    <row r="178" ht="15.75" customHeight="1" s="54"/>
    <row r="179" ht="15.75" customHeight="1" s="54"/>
    <row r="180" ht="15.75" customHeight="1" s="54"/>
    <row r="181" ht="15.75" customHeight="1" s="54"/>
    <row r="182" ht="15.75" customHeight="1" s="54"/>
    <row r="183" ht="15.75" customHeight="1" s="54"/>
    <row r="184" ht="15.75" customHeight="1" s="54"/>
    <row r="185" ht="15.75" customHeight="1" s="54"/>
    <row r="186" ht="15.75" customHeight="1" s="54"/>
    <row r="187" ht="15.75" customHeight="1" s="54"/>
    <row r="188" ht="15.75" customHeight="1" s="54"/>
    <row r="189" ht="15.75" customHeight="1" s="54"/>
    <row r="190" ht="15.75" customHeight="1" s="54"/>
    <row r="191" ht="15.75" customHeight="1" s="54"/>
    <row r="192" ht="15.75" customHeight="1" s="54"/>
    <row r="193" ht="15.75" customHeight="1" s="54"/>
    <row r="194" ht="15.75" customHeight="1" s="54"/>
    <row r="195" ht="15.75" customHeight="1" s="54"/>
    <row r="196" ht="15.75" customHeight="1" s="54"/>
    <row r="197" ht="15.75" customHeight="1" s="54"/>
    <row r="198" ht="15.75" customHeight="1" s="54"/>
    <row r="199" ht="15.75" customHeight="1" s="54"/>
    <row r="200" ht="15.75" customHeight="1" s="54"/>
    <row r="201" ht="15.75" customHeight="1" s="54"/>
    <row r="202" ht="15.75" customHeight="1" s="54"/>
    <row r="203" ht="15.75" customHeight="1" s="54"/>
    <row r="204" ht="15.75" customHeight="1" s="54"/>
    <row r="205" ht="15.75" customHeight="1" s="54"/>
    <row r="206" ht="15.75" customHeight="1" s="54"/>
    <row r="207" ht="15.75" customHeight="1" s="54"/>
    <row r="208" ht="15.75" customHeight="1" s="54"/>
    <row r="209" ht="15.75" customHeight="1" s="54"/>
    <row r="210" ht="15.75" customHeight="1" s="54"/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2">
    <mergeCell ref="A16:G16"/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selection activeCell="A1" sqref="A1"/>
    </sheetView>
  </sheetViews>
  <sheetFormatPr baseColWidth="8" defaultColWidth="14.453125" defaultRowHeight="15" customHeight="1"/>
  <cols>
    <col width="6" customWidth="1" style="54" min="1" max="1"/>
    <col width="8" customWidth="1" style="54" min="2" max="2"/>
    <col width="28" customWidth="1" style="54" min="3" max="3"/>
    <col width="26" customWidth="1" style="54" min="4" max="9"/>
    <col width="8.7265625" customWidth="1" style="54" min="10" max="26"/>
  </cols>
  <sheetData>
    <row r="1" ht="30" customHeight="1" s="54">
      <c r="A1" s="83" t="inlineStr">
        <is>
          <t>Offline Experience — Supplementary Data (Q8b, Q19, Q20 from Google Form)</t>
        </is>
      </c>
    </row>
    <row r="2" ht="19.5" customHeight="1" s="54">
      <c r="A2" s="87" t="inlineStr">
        <is>
          <t>These questions are supplementary to the SUS — they do NOT affect the SUS score calculation.</t>
        </is>
      </c>
    </row>
    <row r="3" ht="18" customHeight="1" s="54">
      <c r="A3" s="88" t="inlineStr">
        <is>
          <t>Q8b — Offline Tasks Attempted (tick = attempted)  |  Google Form: Section 6 of 9</t>
        </is>
      </c>
    </row>
    <row r="4" ht="49.5" customHeight="1" s="54">
      <c r="A4" s="32" t="inlineStr">
        <is>
          <t>#</t>
        </is>
      </c>
      <c r="B4" s="32" t="inlineStr">
        <is>
          <t>ID</t>
        </is>
      </c>
      <c r="C4" s="32" t="inlineStr">
        <is>
          <t>Role</t>
        </is>
      </c>
      <c r="D4" s="32" t="inlineStr">
        <is>
          <t>Browsed dashboard offline (All)</t>
        </is>
      </c>
      <c r="E4" s="32" t="inlineStr">
        <is>
          <t>Submitted request offline (Tenant)</t>
        </is>
      </c>
      <c r="F4" s="32" t="inlineStr">
        <is>
          <t>Completed task offline (Operations)</t>
        </is>
      </c>
      <c r="G4" s="32" t="inlineStr">
        <is>
          <t>Reviewed request offline (Management)</t>
        </is>
      </c>
      <c r="H4" s="32" t="inlineStr">
        <is>
          <t>Offline re-login (All)</t>
        </is>
      </c>
      <c r="I4" s="32" t="inlineStr">
        <is>
          <t>Sync banner on reconnect (All)</t>
        </is>
      </c>
    </row>
    <row r="5" ht="18" customHeight="1" s="54">
      <c r="A5" s="23" t="n">
        <v>1</v>
      </c>
      <c r="B5" s="23" t="inlineStr">
        <is>
          <t>P1</t>
        </is>
      </c>
      <c r="C5" s="23" t="inlineStr">
        <is>
          <t>IPDC Management Staff</t>
        </is>
      </c>
      <c r="D5" s="46" t="inlineStr">
        <is>
          <t>✓</t>
        </is>
      </c>
      <c r="E5" s="46" t="n"/>
      <c r="F5" s="46" t="n"/>
      <c r="G5" s="46" t="inlineStr">
        <is>
          <t>✓</t>
        </is>
      </c>
      <c r="H5" s="46" t="inlineStr">
        <is>
          <t>✓</t>
        </is>
      </c>
      <c r="I5" s="46" t="inlineStr">
        <is>
          <t>✓</t>
        </is>
      </c>
    </row>
    <row r="6" ht="18" customHeight="1" s="54">
      <c r="A6" s="24" t="n">
        <v>2</v>
      </c>
      <c r="B6" s="24" t="inlineStr">
        <is>
          <t>P2</t>
        </is>
      </c>
      <c r="C6" s="24" t="inlineStr">
        <is>
          <t>Tenant Representative</t>
        </is>
      </c>
      <c r="D6" s="46" t="n"/>
      <c r="E6" s="46" t="inlineStr">
        <is>
          <t>✓</t>
        </is>
      </c>
      <c r="F6" s="46" t="n"/>
      <c r="G6" s="46" t="n"/>
      <c r="H6" s="46" t="n"/>
      <c r="I6" s="46" t="n"/>
    </row>
    <row r="7" ht="18" customHeight="1" s="54">
      <c r="A7" s="23" t="n">
        <v>3</v>
      </c>
      <c r="B7" s="23" t="inlineStr">
        <is>
          <t>P3</t>
        </is>
      </c>
      <c r="C7" s="23" t="inlineStr">
        <is>
          <t>IPDC Management Staff</t>
        </is>
      </c>
      <c r="D7" s="46" t="n"/>
      <c r="E7" s="46" t="n"/>
      <c r="F7" s="46" t="inlineStr">
        <is>
          <t>✓</t>
        </is>
      </c>
      <c r="G7" s="46" t="n"/>
      <c r="H7" s="46" t="n"/>
      <c r="I7" s="46" t="n"/>
    </row>
    <row r="8" ht="18" customHeight="1" s="54">
      <c r="A8" s="24" t="n">
        <v>4</v>
      </c>
      <c r="B8" s="24" t="inlineStr">
        <is>
          <t>P4</t>
        </is>
      </c>
      <c r="C8" s="24" t="inlineStr">
        <is>
          <t>Operations Staff</t>
        </is>
      </c>
      <c r="D8" s="46" t="n"/>
      <c r="E8" s="46" t="inlineStr">
        <is>
          <t>✓</t>
        </is>
      </c>
      <c r="F8" s="46" t="n"/>
      <c r="G8" s="46" t="n"/>
      <c r="H8" s="46" t="n"/>
      <c r="I8" s="46" t="n"/>
    </row>
    <row r="9" ht="18" customHeight="1" s="54">
      <c r="A9" s="23" t="n">
        <v>5</v>
      </c>
      <c r="B9" s="23" t="inlineStr">
        <is>
          <t>P5</t>
        </is>
      </c>
      <c r="C9" s="23" t="inlineStr">
        <is>
          <t>IPDC Management Staff</t>
        </is>
      </c>
      <c r="D9" s="46" t="n"/>
      <c r="E9" s="46" t="n"/>
      <c r="F9" s="46" t="n"/>
      <c r="G9" s="46" t="n"/>
      <c r="H9" s="46" t="n"/>
      <c r="I9" s="46" t="inlineStr">
        <is>
          <t>✓</t>
        </is>
      </c>
    </row>
    <row r="10" ht="18" customHeight="1" s="54">
      <c r="A10" s="24" t="n">
        <v>6</v>
      </c>
      <c r="B10" s="24" t="inlineStr">
        <is>
          <t>P6</t>
        </is>
      </c>
      <c r="C10" s="24" t="inlineStr">
        <is>
          <t>Operations Staff</t>
        </is>
      </c>
      <c r="D10" s="46" t="n"/>
      <c r="E10" s="46" t="n"/>
      <c r="F10" s="46" t="inlineStr">
        <is>
          <t>✓</t>
        </is>
      </c>
      <c r="G10" s="46" t="n"/>
      <c r="H10" s="46" t="n"/>
      <c r="I10" s="46" t="n"/>
    </row>
    <row r="11" ht="18" customHeight="1" s="54">
      <c r="A11" s="23" t="n">
        <v>7</v>
      </c>
      <c r="B11" s="23" t="inlineStr">
        <is>
          <t>P7</t>
        </is>
      </c>
      <c r="C11" s="23" t="inlineStr">
        <is>
          <t>Operations Staff</t>
        </is>
      </c>
      <c r="D11" s="46" t="inlineStr">
        <is>
          <t>✓</t>
        </is>
      </c>
      <c r="E11" s="46" t="n"/>
      <c r="F11" s="46" t="inlineStr">
        <is>
          <t>✓</t>
        </is>
      </c>
      <c r="G11" s="46" t="inlineStr">
        <is>
          <t>✓</t>
        </is>
      </c>
      <c r="H11" s="46" t="inlineStr">
        <is>
          <t>✓</t>
        </is>
      </c>
      <c r="I11" s="46" t="inlineStr">
        <is>
          <t>✓</t>
        </is>
      </c>
    </row>
    <row r="12" ht="18" customHeight="1" s="54">
      <c r="A12" s="24" t="n">
        <v>8</v>
      </c>
      <c r="B12" s="24" t="inlineStr">
        <is>
          <t>P8</t>
        </is>
      </c>
      <c r="C12" s="24" t="inlineStr">
        <is>
          <t>Operations Staff</t>
        </is>
      </c>
      <c r="D12" s="46" t="n"/>
      <c r="E12" s="46" t="n"/>
      <c r="F12" s="46" t="inlineStr">
        <is>
          <t>✓</t>
        </is>
      </c>
      <c r="G12" s="46" t="inlineStr">
        <is>
          <t>✓</t>
        </is>
      </c>
      <c r="H12" s="46" t="n"/>
      <c r="I12" s="46" t="n"/>
    </row>
    <row r="13" ht="18" customHeight="1" s="54">
      <c r="A13" s="23" t="n">
        <v>9</v>
      </c>
      <c r="B13" s="23" t="inlineStr">
        <is>
          <t>P9</t>
        </is>
      </c>
      <c r="C13" s="23" t="inlineStr">
        <is>
          <t>Tenant Representative</t>
        </is>
      </c>
      <c r="D13" s="46" t="inlineStr">
        <is>
          <t>✓</t>
        </is>
      </c>
      <c r="E13" s="46" t="inlineStr">
        <is>
          <t>✓</t>
        </is>
      </c>
      <c r="F13" s="46" t="inlineStr">
        <is>
          <t>✓</t>
        </is>
      </c>
      <c r="G13" s="46" t="inlineStr">
        <is>
          <t>✓</t>
        </is>
      </c>
      <c r="H13" s="46" t="inlineStr">
        <is>
          <t>✓</t>
        </is>
      </c>
      <c r="I13" s="46" t="inlineStr">
        <is>
          <t>✓</t>
        </is>
      </c>
    </row>
    <row r="14">
      <c r="A14" s="23" t="n">
        <v>10</v>
      </c>
      <c r="B14" s="23" t="inlineStr">
        <is>
          <t>P10</t>
        </is>
      </c>
      <c r="C14" s="23" t="inlineStr">
        <is>
          <t>Operations Staff</t>
        </is>
      </c>
      <c r="D14" s="46" t="n"/>
      <c r="E14" s="46" t="inlineStr">
        <is>
          <t>✓</t>
        </is>
      </c>
      <c r="F14" s="46" t="n"/>
      <c r="G14" s="46" t="n"/>
      <c r="H14" s="46" t="n"/>
      <c r="I14" s="46" t="n"/>
    </row>
    <row r="15" ht="14.5" customHeight="1" s="54">
      <c r="A15" s="23" t="n">
        <v>11</v>
      </c>
      <c r="B15" s="23" t="inlineStr">
        <is>
          <t>P11</t>
        </is>
      </c>
      <c r="C15" s="23" t="inlineStr">
        <is>
          <t>Operations Staff</t>
        </is>
      </c>
      <c r="D15" s="46" t="n"/>
      <c r="E15" s="46" t="n"/>
      <c r="F15" s="46" t="inlineStr">
        <is>
          <t>✓</t>
        </is>
      </c>
      <c r="G15" s="46" t="n"/>
      <c r="H15" s="46" t="n"/>
      <c r="I15" s="46" t="n"/>
    </row>
    <row r="16">
      <c r="A16" s="23" t="n">
        <v>12</v>
      </c>
      <c r="B16" s="23" t="inlineStr">
        <is>
          <t>P12</t>
        </is>
      </c>
      <c r="C16" s="23" t="inlineStr">
        <is>
          <t>Tenant Representative</t>
        </is>
      </c>
      <c r="D16" s="46" t="inlineStr">
        <is>
          <t>✓</t>
        </is>
      </c>
      <c r="E16" s="46" t="inlineStr">
        <is>
          <t>✓</t>
        </is>
      </c>
      <c r="F16" s="46" t="n"/>
      <c r="G16" s="46" t="n"/>
      <c r="H16" s="46" t="inlineStr">
        <is>
          <t>✓</t>
        </is>
      </c>
      <c r="I16" s="46" t="inlineStr">
        <is>
          <t>✓</t>
        </is>
      </c>
    </row>
    <row r="17" ht="18" customHeight="1" s="54">
      <c r="A17" s="87" t="inlineStr">
        <is>
          <t>Enter  ✓  if the participant attempted the task, or leave blank if not attempted.</t>
        </is>
      </c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</row>
    <row r="18" ht="43.5" customHeight="1" s="54">
      <c r="A18" s="92" t="n"/>
      <c r="B18" s="92" t="n"/>
      <c r="C18" s="92" t="n"/>
      <c r="D18" s="92" t="n"/>
      <c r="E18" s="92" t="n"/>
      <c r="F18" s="92" t="n"/>
      <c r="G18" s="92" t="n"/>
      <c r="H18" s="92" t="n"/>
      <c r="I18" s="92" t="n"/>
    </row>
    <row r="19" ht="18" customHeight="1" s="54">
      <c r="A19" s="88" t="inlineStr">
        <is>
          <t>Q19 — Offline Confidence Score  |  Q20 — Online/Offline Clarity  |  Google Form: Section 8 of 9</t>
        </is>
      </c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</row>
    <row r="20" ht="18" customHeight="1" s="54">
      <c r="A20" s="32" t="inlineStr">
        <is>
          <t>#</t>
        </is>
      </c>
      <c r="B20" s="32" t="inlineStr">
        <is>
          <t>ID</t>
        </is>
      </c>
      <c r="C20" s="32" t="inlineStr">
        <is>
          <t>Role</t>
        </is>
      </c>
      <c r="D20" s="32" t="inlineStr">
        <is>
          <t>Q19: Offline data confidence (1–5)
1=Not confident  5=Fully confident</t>
        </is>
      </c>
      <c r="E20" s="32" t="inlineStr">
        <is>
          <t>Q20: Online/offline clarity
Yes always / Sometimes / No</t>
        </is>
      </c>
      <c r="F20" s="32" t="n"/>
      <c r="G20" s="32" t="n"/>
      <c r="H20" s="32" t="n"/>
      <c r="I20" s="32" t="n"/>
      <c r="J20" s="90" t="n"/>
      <c r="K20" s="90" t="n"/>
      <c r="L20" s="90" t="n"/>
    </row>
    <row r="21" ht="18" customHeight="1" s="54">
      <c r="A21" s="23" t="n">
        <v>1</v>
      </c>
      <c r="B21" s="23" t="inlineStr">
        <is>
          <t>P1</t>
        </is>
      </c>
      <c r="C21" s="23" t="inlineStr">
        <is>
          <t>IPDC Management Staff</t>
        </is>
      </c>
      <c r="D21" s="30" t="n">
        <v>4</v>
      </c>
      <c r="E21" s="30" t="inlineStr">
        <is>
          <t>Yes, it was always clear</t>
        </is>
      </c>
    </row>
    <row r="22" ht="18" customHeight="1" s="54">
      <c r="A22" s="24" t="n">
        <v>2</v>
      </c>
      <c r="B22" s="24" t="inlineStr">
        <is>
          <t>P2</t>
        </is>
      </c>
      <c r="C22" s="24" t="inlineStr">
        <is>
          <t>Tenant Representative</t>
        </is>
      </c>
      <c r="D22" s="30" t="n">
        <v>4</v>
      </c>
      <c r="E22" s="30" t="inlineStr">
        <is>
          <t>Yes, it was always clear</t>
        </is>
      </c>
    </row>
    <row r="23" ht="18" customHeight="1" s="54">
      <c r="A23" s="23" t="n">
        <v>3</v>
      </c>
      <c r="B23" s="23" t="inlineStr">
        <is>
          <t>P3</t>
        </is>
      </c>
      <c r="C23" s="23" t="inlineStr">
        <is>
          <t>IPDC Management Staff</t>
        </is>
      </c>
      <c r="D23" s="30" t="n">
        <v>5</v>
      </c>
      <c r="E23" s="30" t="inlineStr">
        <is>
          <t>Yes, it was always clear</t>
        </is>
      </c>
    </row>
    <row r="24" ht="18" customHeight="1" s="54">
      <c r="A24" s="24" t="n">
        <v>4</v>
      </c>
      <c r="B24" s="24" t="inlineStr">
        <is>
          <t>P4</t>
        </is>
      </c>
      <c r="C24" s="24" t="inlineStr">
        <is>
          <t>Operations Staff</t>
        </is>
      </c>
      <c r="D24" s="30" t="n">
        <v>4</v>
      </c>
      <c r="E24" s="30" t="inlineStr">
        <is>
          <t>Yes, it was always clear</t>
        </is>
      </c>
    </row>
    <row r="25" ht="18" customHeight="1" s="54">
      <c r="A25" s="23" t="n">
        <v>5</v>
      </c>
      <c r="B25" s="23" t="inlineStr">
        <is>
          <t>P5</t>
        </is>
      </c>
      <c r="C25" s="23" t="inlineStr">
        <is>
          <t>IPDC Management Staff</t>
        </is>
      </c>
      <c r="D25" s="30" t="n">
        <v>4</v>
      </c>
      <c r="E25" s="30" t="inlineStr">
        <is>
          <t>Yes, it was always clear</t>
        </is>
      </c>
    </row>
    <row r="26" ht="18" customHeight="1" s="54">
      <c r="A26" s="24" t="n">
        <v>6</v>
      </c>
      <c r="B26" s="24" t="inlineStr">
        <is>
          <t>P6</t>
        </is>
      </c>
      <c r="C26" s="24" t="inlineStr">
        <is>
          <t>Operations Staff</t>
        </is>
      </c>
      <c r="D26" s="30" t="n">
        <v>4</v>
      </c>
      <c r="E26" s="30" t="inlineStr">
        <is>
          <t>Yes, it was always clear</t>
        </is>
      </c>
    </row>
    <row r="27" ht="18" customHeight="1" s="54">
      <c r="A27" s="23" t="n">
        <v>7</v>
      </c>
      <c r="B27" s="23" t="inlineStr">
        <is>
          <t>P7</t>
        </is>
      </c>
      <c r="C27" s="23" t="inlineStr">
        <is>
          <t>Operations Staff</t>
        </is>
      </c>
      <c r="D27" s="30" t="n">
        <v>5</v>
      </c>
      <c r="E27" s="30" t="inlineStr">
        <is>
          <t>Yes, it was always clear</t>
        </is>
      </c>
    </row>
    <row r="28" ht="21.75" customHeight="1" s="54">
      <c r="A28" s="23" t="n">
        <v>8</v>
      </c>
      <c r="B28" s="23" t="inlineStr">
        <is>
          <t>P8</t>
        </is>
      </c>
      <c r="C28" s="23" t="inlineStr">
        <is>
          <t>Operations Staff</t>
        </is>
      </c>
      <c r="D28" s="30" t="n">
        <v>4</v>
      </c>
      <c r="E28" s="30" t="inlineStr">
        <is>
          <t>Yes, it was always clear</t>
        </is>
      </c>
      <c r="F28" s="90" t="n"/>
      <c r="G28" s="90" t="n"/>
      <c r="H28" s="90" t="n"/>
      <c r="I28" s="90" t="n"/>
      <c r="J28" s="90" t="n"/>
      <c r="K28" s="90" t="n"/>
      <c r="L28" s="90" t="n"/>
      <c r="M28" s="90" t="n"/>
    </row>
    <row r="29" ht="15.75" customHeight="1" s="54">
      <c r="A29" s="23" t="n">
        <v>9</v>
      </c>
      <c r="B29" s="23" t="inlineStr">
        <is>
          <t>P9</t>
        </is>
      </c>
      <c r="C29" s="23" t="inlineStr">
        <is>
          <t>Tenant Representative</t>
        </is>
      </c>
      <c r="D29" s="30" t="n">
        <v>4</v>
      </c>
      <c r="E29" s="30" t="inlineStr">
        <is>
          <t>Yes, it was always clear</t>
        </is>
      </c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</row>
    <row r="30" ht="15.75" customHeight="1" s="54">
      <c r="A30" s="23" t="n">
        <v>10</v>
      </c>
      <c r="B30" s="23" t="inlineStr">
        <is>
          <t>P10</t>
        </is>
      </c>
      <c r="C30" s="23" t="inlineStr">
        <is>
          <t>Operations Staff</t>
        </is>
      </c>
      <c r="D30" s="30" t="n">
        <v>4</v>
      </c>
      <c r="E30" s="30" t="inlineStr">
        <is>
          <t>Sometimes clear, sometimes not</t>
        </is>
      </c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</row>
    <row r="31" ht="15.75" customHeight="1" s="54">
      <c r="A31" s="23" t="n">
        <v>11</v>
      </c>
      <c r="B31" s="23" t="inlineStr">
        <is>
          <t>P11</t>
        </is>
      </c>
      <c r="C31" s="23" t="inlineStr">
        <is>
          <t>Operations Staff</t>
        </is>
      </c>
      <c r="D31" s="30" t="n">
        <v>4</v>
      </c>
      <c r="E31" s="30" t="inlineStr">
        <is>
          <t>Yes, it was always clear</t>
        </is>
      </c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P31" s="90" t="n"/>
    </row>
    <row r="32" ht="15.75" customHeight="1" s="54">
      <c r="A32" s="23" t="n">
        <v>12</v>
      </c>
      <c r="B32" s="23" t="inlineStr">
        <is>
          <t>P12</t>
        </is>
      </c>
      <c r="C32" s="23" t="inlineStr">
        <is>
          <t>Tenant Representative</t>
        </is>
      </c>
      <c r="D32" s="30" t="n">
        <v>4</v>
      </c>
      <c r="E32" s="30" t="inlineStr">
        <is>
          <t>Yes, it was always clear</t>
        </is>
      </c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</row>
    <row r="33" ht="15.75" customHeight="1" s="54">
      <c r="A33" s="91" t="inlineStr">
        <is>
          <t>MEAN (Q19)</t>
        </is>
      </c>
      <c r="B33" s="23" t="n"/>
      <c r="C33" s="23" t="n"/>
      <c r="D33" s="30">
        <f>IFERROR(AVERAGEIF(D21:D32,"&lt;&gt;"),"")</f>
        <v/>
      </c>
      <c r="E33" s="3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  <c r="P33" s="90" t="n"/>
      <c r="Q33" s="90" t="n"/>
      <c r="R33" s="90" t="n"/>
    </row>
    <row r="34" ht="15.75" customHeight="1" s="54"/>
    <row r="35" ht="15.75" customHeight="1" s="54"/>
    <row r="36" ht="15.75" customHeight="1" s="54"/>
    <row r="37" ht="15.75" customHeight="1" s="54"/>
    <row r="38" ht="15.75" customHeight="1" s="54"/>
    <row r="39" ht="15.75" customHeight="1" s="54"/>
    <row r="40" ht="15.75" customHeight="1" s="54"/>
    <row r="41" ht="15.75" customHeight="1" s="54"/>
    <row r="42" ht="15.75" customHeight="1" s="54"/>
    <row r="43" ht="15.75" customHeight="1" s="54"/>
    <row r="44" ht="15.75" customHeight="1" s="54"/>
    <row r="45" ht="15.75" customHeight="1" s="54"/>
    <row r="46" ht="15.75" customHeight="1" s="54"/>
    <row r="47" ht="15.75" customHeight="1" s="54"/>
    <row r="48" ht="15.75" customHeight="1" s="54"/>
    <row r="49" ht="15.75" customHeight="1" s="54"/>
    <row r="50" ht="15.75" customHeight="1" s="54"/>
    <row r="51" ht="15.75" customHeight="1" s="54"/>
    <row r="52" ht="15.75" customHeight="1" s="54"/>
    <row r="53" ht="15.75" customHeight="1" s="54"/>
    <row r="54" ht="15.75" customHeight="1" s="54"/>
    <row r="55" ht="15.75" customHeight="1" s="54"/>
    <row r="56" ht="15.75" customHeight="1" s="54"/>
    <row r="57" ht="15.75" customHeight="1" s="54"/>
    <row r="58" ht="15.75" customHeight="1" s="54"/>
    <row r="59" ht="15.75" customHeight="1" s="54"/>
    <row r="60" ht="15.75" customHeight="1" s="54"/>
    <row r="61" ht="15.75" customHeight="1" s="54"/>
    <row r="62" ht="15.75" customHeight="1" s="54"/>
    <row r="63" ht="15.75" customHeight="1" s="54"/>
    <row r="64" ht="15.75" customHeight="1" s="54"/>
    <row r="65" ht="15.75" customHeight="1" s="54"/>
    <row r="66" ht="15.75" customHeight="1" s="54"/>
    <row r="67" ht="15.75" customHeight="1" s="54"/>
    <row r="68" ht="15.75" customHeight="1" s="54"/>
    <row r="69" ht="15.75" customHeight="1" s="54"/>
    <row r="70" ht="15.75" customHeight="1" s="54"/>
    <row r="71" ht="15.75" customHeight="1" s="54"/>
    <row r="72" ht="15.75" customHeight="1" s="54"/>
    <row r="73" ht="15.75" customHeight="1" s="54"/>
    <row r="74" ht="15.75" customHeight="1" s="54"/>
    <row r="75" ht="15.75" customHeight="1" s="54"/>
    <row r="76" ht="15.75" customHeight="1" s="54"/>
    <row r="77" ht="15.75" customHeight="1" s="54"/>
    <row r="78" ht="15.75" customHeight="1" s="54"/>
    <row r="79" ht="15.75" customHeight="1" s="54"/>
    <row r="80" ht="15.75" customHeight="1" s="54"/>
    <row r="81" ht="15.75" customHeight="1" s="54"/>
    <row r="82" ht="15.75" customHeight="1" s="54"/>
    <row r="83" ht="15.75" customHeight="1" s="54"/>
    <row r="84" ht="15.75" customHeight="1" s="54"/>
    <row r="85" ht="15.75" customHeight="1" s="54"/>
    <row r="86" ht="15.75" customHeight="1" s="54"/>
    <row r="87" ht="15.75" customHeight="1" s="54"/>
    <row r="88" ht="15.75" customHeight="1" s="54"/>
    <row r="89" ht="15.75" customHeight="1" s="54"/>
    <row r="90" ht="15.75" customHeight="1" s="54"/>
    <row r="91" ht="15.75" customHeight="1" s="54"/>
    <row r="92" ht="15.75" customHeight="1" s="54"/>
    <row r="93" ht="15.75" customHeight="1" s="54"/>
    <row r="94" ht="15.75" customHeight="1" s="54"/>
    <row r="95" ht="15.75" customHeight="1" s="54"/>
    <row r="96" ht="15.75" customHeight="1" s="54"/>
    <row r="97" ht="15.75" customHeight="1" s="54"/>
    <row r="98" ht="15.75" customHeight="1" s="54"/>
    <row r="99" ht="15.75" customHeight="1" s="54"/>
    <row r="100" ht="15.75" customHeight="1" s="54"/>
    <row r="101" ht="15.75" customHeight="1" s="54"/>
    <row r="102" ht="15.75" customHeight="1" s="54"/>
    <row r="103" ht="15.75" customHeight="1" s="54"/>
    <row r="104" ht="15.75" customHeight="1" s="54"/>
    <row r="105" ht="15.75" customHeight="1" s="54"/>
    <row r="106" ht="15.75" customHeight="1" s="54"/>
    <row r="107" ht="15.75" customHeight="1" s="54"/>
    <row r="108" ht="15.75" customHeight="1" s="54"/>
    <row r="109" ht="15.75" customHeight="1" s="54"/>
    <row r="110" ht="15.75" customHeight="1" s="54"/>
    <row r="111" ht="15.75" customHeight="1" s="54"/>
    <row r="112" ht="15.75" customHeight="1" s="54"/>
    <row r="113" ht="15.75" customHeight="1" s="54"/>
    <row r="114" ht="15.75" customHeight="1" s="54"/>
    <row r="115" ht="15.75" customHeight="1" s="54"/>
    <row r="116" ht="15.75" customHeight="1" s="54"/>
    <row r="117" ht="15.75" customHeight="1" s="54"/>
    <row r="118" ht="15.75" customHeight="1" s="54"/>
    <row r="119" ht="15.75" customHeight="1" s="54"/>
    <row r="120" ht="15.75" customHeight="1" s="54"/>
    <row r="121" ht="15.75" customHeight="1" s="54"/>
    <row r="122" ht="15.75" customHeight="1" s="54"/>
    <row r="123" ht="15.75" customHeight="1" s="54"/>
    <row r="124" ht="15.75" customHeight="1" s="54"/>
    <row r="125" ht="15.75" customHeight="1" s="54"/>
    <row r="126" ht="15.75" customHeight="1" s="54"/>
    <row r="127" ht="15.75" customHeight="1" s="54"/>
    <row r="128" ht="15.75" customHeight="1" s="54"/>
    <row r="129" ht="15.75" customHeight="1" s="54"/>
    <row r="130" ht="15.75" customHeight="1" s="54"/>
    <row r="131" ht="15.75" customHeight="1" s="54"/>
    <row r="132" ht="15.75" customHeight="1" s="54"/>
    <row r="133" ht="15.75" customHeight="1" s="54"/>
    <row r="134" ht="15.75" customHeight="1" s="54"/>
    <row r="135" ht="15.75" customHeight="1" s="54"/>
    <row r="136" ht="15.75" customHeight="1" s="54"/>
    <row r="137" ht="15.75" customHeight="1" s="54"/>
    <row r="138" ht="15.75" customHeight="1" s="54"/>
    <row r="139" ht="15.75" customHeight="1" s="54"/>
    <row r="140" ht="15.75" customHeight="1" s="54"/>
    <row r="141" ht="15.75" customHeight="1" s="54"/>
    <row r="142" ht="15.75" customHeight="1" s="54"/>
    <row r="143" ht="15.75" customHeight="1" s="54"/>
    <row r="144" ht="15.75" customHeight="1" s="54"/>
    <row r="145" ht="15.75" customHeight="1" s="54"/>
    <row r="146" ht="15.75" customHeight="1" s="54"/>
    <row r="147" ht="15.75" customHeight="1" s="54"/>
    <row r="148" ht="15.75" customHeight="1" s="54"/>
    <row r="149" ht="15.75" customHeight="1" s="54"/>
    <row r="150" ht="15.75" customHeight="1" s="54"/>
    <row r="151" ht="15.75" customHeight="1" s="54"/>
    <row r="152" ht="15.75" customHeight="1" s="54"/>
    <row r="153" ht="15.75" customHeight="1" s="54"/>
    <row r="154" ht="15.75" customHeight="1" s="54"/>
    <row r="155" ht="15.75" customHeight="1" s="54"/>
    <row r="156" ht="15.75" customHeight="1" s="54"/>
    <row r="157" ht="15.75" customHeight="1" s="54"/>
    <row r="158" ht="15.75" customHeight="1" s="54"/>
    <row r="159" ht="15.75" customHeight="1" s="54"/>
    <row r="160" ht="15.75" customHeight="1" s="54"/>
    <row r="161" ht="15.75" customHeight="1" s="54"/>
    <row r="162" ht="15.75" customHeight="1" s="54"/>
    <row r="163" ht="15.75" customHeight="1" s="54"/>
    <row r="164" ht="15.75" customHeight="1" s="54"/>
    <row r="165" ht="15.75" customHeight="1" s="54"/>
    <row r="166" ht="15.75" customHeight="1" s="54"/>
    <row r="167" ht="15.75" customHeight="1" s="54"/>
    <row r="168" ht="15.75" customHeight="1" s="54"/>
    <row r="169" ht="15.75" customHeight="1" s="54"/>
    <row r="170" ht="15.75" customHeight="1" s="54"/>
    <row r="171" ht="15.75" customHeight="1" s="54"/>
    <row r="172" ht="15.75" customHeight="1" s="54"/>
    <row r="173" ht="15.75" customHeight="1" s="54"/>
    <row r="174" ht="15.75" customHeight="1" s="54"/>
    <row r="175" ht="15.75" customHeight="1" s="54"/>
    <row r="176" ht="15.75" customHeight="1" s="54"/>
    <row r="177" ht="15.75" customHeight="1" s="54"/>
    <row r="178" ht="15.75" customHeight="1" s="54"/>
    <row r="179" ht="15.75" customHeight="1" s="54"/>
    <row r="180" ht="15.75" customHeight="1" s="54"/>
    <row r="181" ht="15.75" customHeight="1" s="54"/>
    <row r="182" ht="15.75" customHeight="1" s="54"/>
    <row r="183" ht="15.75" customHeight="1" s="54"/>
    <row r="184" ht="15.75" customHeight="1" s="54"/>
    <row r="185" ht="15.75" customHeight="1" s="54"/>
    <row r="186" ht="15.75" customHeight="1" s="54"/>
    <row r="187" ht="15.75" customHeight="1" s="54"/>
    <row r="188" ht="15.75" customHeight="1" s="54"/>
    <row r="189" ht="15.75" customHeight="1" s="54"/>
    <row r="190" ht="15.75" customHeight="1" s="54"/>
    <row r="191" ht="15.75" customHeight="1" s="54"/>
    <row r="192" ht="15.75" customHeight="1" s="54"/>
    <row r="193" ht="15.75" customHeight="1" s="54"/>
    <row r="194" ht="15.75" customHeight="1" s="54"/>
    <row r="195" ht="15.75" customHeight="1" s="54"/>
    <row r="196" ht="15.75" customHeight="1" s="54"/>
    <row r="197" ht="15.75" customHeight="1" s="54"/>
    <row r="198" ht="15.75" customHeight="1" s="54"/>
    <row r="199" ht="15.75" customHeight="1" s="54"/>
    <row r="200" ht="15.75" customHeight="1" s="54"/>
    <row r="201" ht="15.75" customHeight="1" s="54"/>
    <row r="202" ht="15.75" customHeight="1" s="54"/>
    <row r="203" ht="15.75" customHeight="1" s="54"/>
    <row r="204" ht="15.75" customHeight="1" s="54"/>
    <row r="205" ht="15.75" customHeight="1" s="54"/>
    <row r="206" ht="15.75" customHeight="1" s="54"/>
    <row r="207" ht="15.75" customHeight="1" s="54"/>
    <row r="208" ht="15.75" customHeight="1" s="54"/>
    <row r="209" ht="15.75" customHeight="1" s="54"/>
    <row r="210" ht="15.75" customHeight="1" s="54"/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3">
    <mergeCell ref="A2:I2"/>
    <mergeCell ref="A3:I3"/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2026-03-24T06:14:12Z</dcterms:created>
  <dcterms:modified xsi:type="dcterms:W3CDTF">2026-03-24T07:11:58Z</dcterms:modified>
  <cp:lastModifiedBy>asus</cp:lastModifiedBy>
</cp:coreProperties>
</file>