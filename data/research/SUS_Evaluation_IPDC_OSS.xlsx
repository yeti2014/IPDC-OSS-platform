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drawings/drawing1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21930" windowHeight="10530" tabRatio="600" firstSheet="0" activeTab="0" autoFilterDateGrouping="1"/>
  </bookViews>
  <sheets>
    <sheet name="Form Responses 1" sheetId="1" state="visible" r:id="rId1"/>
    <sheet name="Instructions" sheetId="2" state="visible" r:id="rId2"/>
    <sheet name="Participant Profiles" sheetId="3" state="visible" r:id="rId3"/>
    <sheet name="SUS Raw Responses" sheetId="4" state="visible" r:id="rId4"/>
    <sheet name="SUS Score Calculation" sheetId="5" state="visible" r:id="rId5"/>
    <sheet name="Summary &amp; Results" sheetId="6" state="visible" r:id="rId6"/>
    <sheet name="Offline Experience" sheetId="7" state="visible" r:id="rId7"/>
  </sheets>
  <definedNames/>
  <calcPr calcId="162913" fullCalcOnLoad="1"/>
</workbook>
</file>

<file path=xl/styles.xml><?xml version="1.0" encoding="utf-8"?>
<styleSheet xmlns="http://schemas.openxmlformats.org/spreadsheetml/2006/main">
  <numFmts count="2">
    <numFmt numFmtId="164" formatCode="m/d/yyyy\ h:mm:ss"/>
    <numFmt numFmtId="165" formatCode="0.0"/>
  </numFmts>
  <fonts count="31">
    <font>
      <name val="Calibri"/>
      <color theme="1"/>
      <sz val="11"/>
      <scheme val="minor"/>
    </font>
    <font>
      <name val="Calibri"/>
      <color theme="1"/>
      <sz val="11"/>
      <scheme val="minor"/>
    </font>
    <font>
      <name val="Calibri"/>
      <b val="1"/>
      <color rgb="FFFFFFFF"/>
      <sz val="14"/>
    </font>
    <font>
      <name val="Calibri"/>
      <sz val="11"/>
    </font>
    <font>
      <name val="Calibri"/>
      <b val="1"/>
      <color rgb="FFFFFFFF"/>
      <sz val="11"/>
    </font>
    <font>
      <name val="Calibri"/>
      <b val="1"/>
      <color rgb="FF1565C0"/>
      <sz val="11"/>
    </font>
    <font>
      <name val="Calibri"/>
      <color rgb="FF212121"/>
      <sz val="10"/>
    </font>
    <font>
      <name val="Calibri"/>
      <b val="1"/>
      <color rgb="FF1565C0"/>
      <sz val="10"/>
    </font>
    <font>
      <name val="Calibri"/>
      <b val="1"/>
      <color rgb="FF212121"/>
      <sz val="10"/>
    </font>
    <font>
      <name val="Calibri"/>
      <color rgb="FF2E7D32"/>
      <sz val="10"/>
    </font>
    <font>
      <name val="Calibri"/>
      <b val="1"/>
      <color rgb="FF2E7D32"/>
      <sz val="10"/>
    </font>
    <font>
      <name val="Calibri"/>
      <color rgb="FF1565C0"/>
      <sz val="10"/>
    </font>
    <font>
      <name val="Calibri"/>
      <color rgb="FFF57F17"/>
      <sz val="10"/>
    </font>
    <font>
      <name val="Calibri"/>
      <b val="1"/>
      <color rgb="FFF57F17"/>
      <sz val="10"/>
    </font>
    <font>
      <name val="Calibri"/>
      <color rgb="FFBF360C"/>
      <sz val="10"/>
    </font>
    <font>
      <name val="Calibri"/>
      <b val="1"/>
      <color rgb="FFBF360C"/>
      <sz val="10"/>
    </font>
    <font>
      <name val="Calibri"/>
      <color rgb="FFB71C1C"/>
      <sz val="10"/>
    </font>
    <font>
      <name val="Calibri"/>
      <b val="1"/>
      <color rgb="FFB71C1C"/>
      <sz val="10"/>
    </font>
    <font>
      <name val="Calibri"/>
      <b val="1"/>
      <color rgb="FFFFFFFF"/>
      <sz val="10"/>
    </font>
    <font>
      <name val="Calibri"/>
      <b val="1"/>
      <color rgb="FFE65100"/>
      <sz val="10"/>
    </font>
    <font>
      <name val="Calibri"/>
      <b val="1"/>
      <color rgb="FFFFFFFF"/>
      <sz val="13"/>
    </font>
    <font>
      <name val="Calibri"/>
      <i val="1"/>
      <color rgb="FF757575"/>
      <sz val="9"/>
    </font>
    <font>
      <name val="Calibri"/>
      <b val="1"/>
      <color rgb="FFFFFFFF"/>
      <sz val="12"/>
    </font>
    <font>
      <name val="Calibri"/>
      <color rgb="FF212121"/>
      <sz val="8"/>
    </font>
    <font>
      <name val="Calibri"/>
      <i val="1"/>
      <color rgb="FF424242"/>
      <sz val="9"/>
    </font>
    <font>
      <name val="Calibri"/>
      <i val="1"/>
      <color theme="1"/>
      <sz val="8"/>
    </font>
    <font>
      <name val="Calibri"/>
      <b val="1"/>
      <color rgb="FFFFFFFF"/>
      <sz val="9"/>
    </font>
    <font>
      <name val="Calibri"/>
      <b val="1"/>
      <color rgb="FFE65100"/>
      <sz val="11"/>
    </font>
    <font>
      <name val="Calibri"/>
      <b val="1"/>
      <color rgb="FF212121"/>
      <sz val="11"/>
    </font>
    <font>
      <name val="Calibri"/>
      <b val="1"/>
      <color rgb="FF2E7D32"/>
      <sz val="12"/>
    </font>
    <font>
      <name val="Calibri"/>
      <b val="1"/>
      <color rgb="FF2E7D32"/>
      <sz val="11"/>
    </font>
  </fonts>
  <fills count="14">
    <fill>
      <patternFill/>
    </fill>
    <fill>
      <patternFill patternType="gray125"/>
    </fill>
    <fill>
      <patternFill patternType="solid">
        <fgColor rgb="FF1565C0"/>
        <bgColor rgb="FF1565C0"/>
      </patternFill>
    </fill>
    <fill>
      <patternFill patternType="solid">
        <fgColor rgb="FF1976D2"/>
        <bgColor rgb="FF1976D2"/>
      </patternFill>
    </fill>
    <fill>
      <patternFill patternType="solid">
        <fgColor rgb="FFBBDEFB"/>
        <bgColor rgb="FFBBDEFB"/>
      </patternFill>
    </fill>
    <fill>
      <patternFill patternType="solid">
        <fgColor rgb="FFFFF9C4"/>
        <bgColor rgb="FFFFF9C4"/>
      </patternFill>
    </fill>
    <fill>
      <patternFill patternType="solid">
        <fgColor rgb="FFC8E6C9"/>
        <bgColor rgb="FFC8E6C9"/>
      </patternFill>
    </fill>
    <fill>
      <patternFill patternType="solid">
        <fgColor rgb="FFFFE0B2"/>
        <bgColor rgb="FFFFE0B2"/>
      </patternFill>
    </fill>
    <fill>
      <patternFill patternType="solid">
        <fgColor rgb="FFFFCDD2"/>
        <bgColor rgb="FFFFCDD2"/>
      </patternFill>
    </fill>
    <fill>
      <patternFill patternType="solid">
        <fgColor rgb="FF1E88E5"/>
        <bgColor rgb="FF1E88E5"/>
      </patternFill>
    </fill>
    <fill>
      <patternFill patternType="solid">
        <fgColor rgb="FFF5F5F5"/>
        <bgColor rgb="FFF5F5F5"/>
      </patternFill>
    </fill>
    <fill>
      <patternFill patternType="solid">
        <fgColor rgb="FFFFFFFF"/>
        <bgColor rgb="FFFFFFFF"/>
      </patternFill>
    </fill>
    <fill>
      <patternFill patternType="solid">
        <fgColor rgb="FFE65100"/>
        <bgColor rgb="FFE65100"/>
      </patternFill>
    </fill>
    <fill>
      <patternFill patternType="solid">
        <fgColor rgb="FF2E7D32"/>
        <bgColor rgb="FF2E7D32"/>
      </patternFill>
    </fill>
  </fills>
  <borders count="14"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 style="thin">
        <color rgb="FFBDBDBD"/>
      </left>
      <right style="thin">
        <color rgb="FFBDBDBD"/>
      </right>
      <top style="thin">
        <color rgb="FFBDBDBD"/>
      </top>
      <bottom style="thin">
        <color rgb="FFBDBDBD"/>
      </bottom>
      <diagonal/>
    </border>
    <border>
      <left style="thin">
        <color rgb="FFBDBDBD"/>
      </left>
      <right/>
      <top style="thin">
        <color rgb="FFBDBDBD"/>
      </top>
      <bottom style="thin">
        <color rgb="FFBDBDBD"/>
      </bottom>
      <diagonal/>
    </border>
    <border>
      <left/>
      <right style="thin">
        <color rgb="FFBDBDBD"/>
      </right>
      <top style="thin">
        <color rgb="FFBDBDBD"/>
      </top>
      <bottom style="thin">
        <color rgb="FFBDBDBD"/>
      </bottom>
      <diagonal/>
    </border>
    <border>
      <left/>
      <right/>
      <top style="thin">
        <color rgb="FFBDBDBD"/>
      </top>
      <bottom style="thin">
        <color rgb="FFBDBDBD"/>
      </bottom>
      <diagonal/>
    </border>
    <border>
      <left style="thin">
        <color rgb="FFBDBDBD"/>
      </left>
      <right style="thin">
        <color rgb="FFBDBDBD"/>
      </right>
      <top style="thin">
        <color rgb="FFBDBDBD"/>
      </top>
      <bottom/>
      <diagonal/>
    </border>
    <border>
      <left style="thin">
        <color rgb="FFBDBDBD"/>
      </left>
      <right style="thin">
        <color rgb="FFBDBDBD"/>
      </right>
      <top/>
      <bottom style="thin">
        <color rgb="FFBDBDBD"/>
      </bottom>
      <diagonal/>
    </border>
    <border>
      <left/>
      <right/>
      <top style="thin">
        <color rgb="FFBDBDBD"/>
      </top>
      <bottom/>
      <diagonal/>
    </border>
    <border>
      <left/>
      <right style="thin">
        <color rgb="FFBDBDBD"/>
      </right>
      <top style="thin">
        <color rgb="FFBDBDBD"/>
      </top>
      <bottom/>
      <diagonal/>
    </border>
    <border>
      <left style="thin">
        <color rgb="FFBDBDBD"/>
      </left>
      <right/>
      <top/>
      <bottom/>
      <diagonal/>
    </border>
    <border>
      <left style="thin">
        <color rgb="FFBDBDBD"/>
      </left>
      <right style="thin">
        <color rgb="FFBDBDBD"/>
      </right>
      <top/>
      <bottom/>
      <diagonal/>
    </border>
  </borders>
  <cellStyleXfs count="1">
    <xf numFmtId="0" fontId="1" fillId="0" borderId="3"/>
  </cellStyleXfs>
  <cellXfs count="90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164" fontId="1" fillId="0" borderId="0" applyAlignment="1" pivotButton="0" quotePrefix="0" xfId="0">
      <alignment vertical="center"/>
    </xf>
    <xf numFmtId="0" fontId="1" fillId="0" borderId="0" applyAlignment="1" pivotButton="0" quotePrefix="0" xfId="0">
      <alignment vertical="center"/>
    </xf>
    <xf numFmtId="0" fontId="1" fillId="0" borderId="0" applyAlignment="1" pivotButton="0" quotePrefix="0" xfId="0">
      <alignment vertical="center"/>
    </xf>
    <xf numFmtId="164" fontId="1" fillId="0" borderId="0" applyAlignment="1" pivotButton="0" quotePrefix="0" xfId="0">
      <alignment vertical="center"/>
    </xf>
    <xf numFmtId="0" fontId="1" fillId="0" borderId="0" applyAlignment="1" pivotButton="0" quotePrefix="0" xfId="0">
      <alignment vertical="center"/>
    </xf>
    <xf numFmtId="0" fontId="7" fillId="4" borderId="4" applyAlignment="1" pivotButton="0" quotePrefix="0" xfId="0">
      <alignment horizontal="left" vertical="center"/>
    </xf>
    <xf numFmtId="0" fontId="8" fillId="5" borderId="4" applyAlignment="1" pivotButton="0" quotePrefix="0" xfId="0">
      <alignment horizontal="left" vertical="center" wrapText="1"/>
    </xf>
    <xf numFmtId="0" fontId="9" fillId="6" borderId="4" applyAlignment="1" pivotButton="0" quotePrefix="0" xfId="0">
      <alignment horizontal="center" vertical="center"/>
    </xf>
    <xf numFmtId="0" fontId="10" fillId="6" borderId="4" applyAlignment="1" pivotButton="0" quotePrefix="0" xfId="0">
      <alignment horizontal="center" vertical="center"/>
    </xf>
    <xf numFmtId="0" fontId="11" fillId="4" borderId="4" applyAlignment="1" pivotButton="0" quotePrefix="0" xfId="0">
      <alignment horizontal="center" vertical="center"/>
    </xf>
    <xf numFmtId="0" fontId="7" fillId="4" borderId="4" applyAlignment="1" pivotButton="0" quotePrefix="0" xfId="0">
      <alignment horizontal="center" vertical="center"/>
    </xf>
    <xf numFmtId="0" fontId="12" fillId="5" borderId="4" applyAlignment="1" pivotButton="0" quotePrefix="0" xfId="0">
      <alignment horizontal="center" vertical="center"/>
    </xf>
    <xf numFmtId="0" fontId="13" fillId="5" borderId="4" applyAlignment="1" pivotButton="0" quotePrefix="0" xfId="0">
      <alignment horizontal="center" vertical="center"/>
    </xf>
    <xf numFmtId="0" fontId="14" fillId="7" borderId="4" applyAlignment="1" pivotButton="0" quotePrefix="0" xfId="0">
      <alignment horizontal="center" vertical="center"/>
    </xf>
    <xf numFmtId="0" fontId="15" fillId="7" borderId="4" applyAlignment="1" pivotButton="0" quotePrefix="0" xfId="0">
      <alignment horizontal="center" vertical="center"/>
    </xf>
    <xf numFmtId="0" fontId="16" fillId="8" borderId="4" applyAlignment="1" pivotButton="0" quotePrefix="0" xfId="0">
      <alignment horizontal="center" vertical="center"/>
    </xf>
    <xf numFmtId="0" fontId="17" fillId="8" borderId="4" applyAlignment="1" pivotButton="0" quotePrefix="0" xfId="0">
      <alignment horizontal="center" vertical="center"/>
    </xf>
    <xf numFmtId="0" fontId="18" fillId="9" borderId="4" applyAlignment="1" pivotButton="0" quotePrefix="0" xfId="0">
      <alignment horizontal="center" vertical="center"/>
    </xf>
    <xf numFmtId="0" fontId="8" fillId="10" borderId="4" applyAlignment="1" pivotButton="0" quotePrefix="0" xfId="0">
      <alignment horizontal="left" vertical="center" wrapText="1"/>
    </xf>
    <xf numFmtId="0" fontId="6" fillId="11" borderId="4" applyAlignment="1" pivotButton="0" quotePrefix="0" xfId="0">
      <alignment horizontal="left" vertical="center" wrapText="1"/>
    </xf>
    <xf numFmtId="0" fontId="18" fillId="9" borderId="4" applyAlignment="1" pivotButton="0" quotePrefix="0" xfId="0">
      <alignment horizontal="center" vertical="center" wrapText="1"/>
    </xf>
    <xf numFmtId="0" fontId="6" fillId="11" borderId="4" applyAlignment="1" pivotButton="0" quotePrefix="0" xfId="0">
      <alignment horizontal="center" vertical="center"/>
    </xf>
    <xf numFmtId="0" fontId="6" fillId="10" borderId="4" applyAlignment="1" pivotButton="0" quotePrefix="0" xfId="0">
      <alignment horizontal="center" vertical="center"/>
    </xf>
    <xf numFmtId="0" fontId="18" fillId="12" borderId="4" applyAlignment="1" pivotButton="0" quotePrefix="0" xfId="0">
      <alignment horizontal="center" vertical="center"/>
    </xf>
    <xf numFmtId="0" fontId="23" fillId="4" borderId="4" applyAlignment="1" pivotButton="0" quotePrefix="0" xfId="0">
      <alignment horizontal="center" vertical="center" wrapText="1"/>
    </xf>
    <xf numFmtId="0" fontId="23" fillId="7" borderId="4" applyAlignment="1" pivotButton="0" quotePrefix="0" xfId="0">
      <alignment horizontal="center" vertical="center" wrapText="1"/>
    </xf>
    <xf numFmtId="0" fontId="25" fillId="5" borderId="4" pivotButton="0" quotePrefix="0" xfId="0"/>
    <xf numFmtId="0" fontId="8" fillId="11" borderId="4" applyAlignment="1" pivotButton="0" quotePrefix="0" xfId="0">
      <alignment horizontal="center" vertical="center"/>
    </xf>
    <xf numFmtId="0" fontId="5" fillId="11" borderId="4" applyAlignment="1" pivotButton="0" quotePrefix="0" xfId="0">
      <alignment horizontal="center" vertical="center"/>
    </xf>
    <xf numFmtId="0" fontId="8" fillId="10" borderId="4" applyAlignment="1" pivotButton="0" quotePrefix="0" xfId="0">
      <alignment horizontal="center" vertical="center"/>
    </xf>
    <xf numFmtId="0" fontId="26" fillId="9" borderId="4" applyAlignment="1" pivotButton="0" quotePrefix="0" xfId="0">
      <alignment horizontal="center" vertical="center" wrapText="1"/>
    </xf>
    <xf numFmtId="0" fontId="26" fillId="12" borderId="4" applyAlignment="1" pivotButton="0" quotePrefix="0" xfId="0">
      <alignment horizontal="center" vertical="center" wrapText="1"/>
    </xf>
    <xf numFmtId="0" fontId="24" fillId="4" borderId="4" applyAlignment="1" pivotButton="0" quotePrefix="0" xfId="0">
      <alignment horizontal="center" vertical="center"/>
    </xf>
    <xf numFmtId="0" fontId="24" fillId="7" borderId="4" applyAlignment="1" pivotButton="0" quotePrefix="0" xfId="0">
      <alignment horizontal="center" vertical="center"/>
    </xf>
    <xf numFmtId="0" fontId="24" fillId="4" borderId="4" applyAlignment="1" pivotButton="0" quotePrefix="0" xfId="0">
      <alignment horizontal="center" vertical="center" wrapText="1"/>
    </xf>
    <xf numFmtId="0" fontId="27" fillId="11" borderId="4" applyAlignment="1" pivotButton="0" quotePrefix="0" xfId="0">
      <alignment horizontal="center" vertical="center"/>
    </xf>
    <xf numFmtId="0" fontId="28" fillId="5" borderId="4" applyAlignment="1" pivotButton="0" quotePrefix="0" xfId="0">
      <alignment horizontal="center" vertical="center"/>
    </xf>
    <xf numFmtId="0" fontId="29" fillId="6" borderId="4" applyAlignment="1" pivotButton="0" quotePrefix="0" xfId="0">
      <alignment horizontal="center" vertical="center"/>
    </xf>
    <xf numFmtId="0" fontId="5" fillId="10" borderId="4" applyAlignment="1" pivotButton="0" quotePrefix="0" xfId="0">
      <alignment horizontal="center" vertical="center"/>
    </xf>
    <xf numFmtId="0" fontId="27" fillId="10" borderId="4" applyAlignment="1" pivotButton="0" quotePrefix="0" xfId="0">
      <alignment horizontal="center" vertical="center"/>
    </xf>
    <xf numFmtId="165" fontId="20" fillId="13" borderId="4" applyAlignment="1" pivotButton="0" quotePrefix="0" xfId="0">
      <alignment horizontal="center" vertical="center"/>
    </xf>
    <xf numFmtId="165" fontId="30" fillId="6" borderId="4" applyAlignment="1" pivotButton="0" quotePrefix="0" xfId="0">
      <alignment horizontal="center" vertical="center"/>
    </xf>
    <xf numFmtId="0" fontId="22" fillId="13" borderId="4" applyAlignment="1" pivotButton="0" quotePrefix="0" xfId="0">
      <alignment horizontal="center" vertical="center"/>
    </xf>
    <xf numFmtId="0" fontId="4" fillId="13" borderId="4" applyAlignment="1" pivotButton="0" quotePrefix="0" xfId="0">
      <alignment horizontal="center" vertical="center"/>
    </xf>
    <xf numFmtId="49" fontId="5" fillId="11" borderId="4" applyAlignment="1" pivotButton="0" quotePrefix="0" xfId="0">
      <alignment horizontal="center" vertical="center"/>
    </xf>
    <xf numFmtId="2" fontId="22" fillId="13" borderId="4" applyAlignment="1" pivotButton="0" quotePrefix="0" xfId="0">
      <alignment horizontal="center" vertical="center"/>
    </xf>
    <xf numFmtId="0" fontId="0" fillId="0" borderId="0" applyAlignment="1" pivotButton="0" quotePrefix="0" xfId="0">
      <alignment vertical="center"/>
    </xf>
    <xf numFmtId="0" fontId="2" fillId="2" borderId="1" applyAlignment="1" pivotButton="0" quotePrefix="0" xfId="0">
      <alignment horizontal="center" vertical="center" wrapText="1"/>
    </xf>
    <xf numFmtId="0" fontId="3" fillId="0" borderId="2" pivotButton="0" quotePrefix="0" xfId="0"/>
    <xf numFmtId="0" fontId="3" fillId="0" borderId="3" pivotButton="0" quotePrefix="0" xfId="0"/>
    <xf numFmtId="0" fontId="4" fillId="3" borderId="1" applyAlignment="1" pivotButton="0" quotePrefix="0" xfId="0">
      <alignment horizontal="center" vertical="center" wrapText="1"/>
    </xf>
    <xf numFmtId="0" fontId="5" fillId="0" borderId="0" applyAlignment="1" pivotButton="0" quotePrefix="0" xfId="0">
      <alignment horizontal="left" vertical="center" wrapText="1"/>
    </xf>
    <xf numFmtId="0" fontId="0" fillId="0" borderId="0" pivotButton="0" quotePrefix="0" xfId="0"/>
    <xf numFmtId="0" fontId="6" fillId="0" borderId="0" applyAlignment="1" pivotButton="0" quotePrefix="0" xfId="0">
      <alignment horizontal="left" vertical="center" wrapText="1"/>
    </xf>
    <xf numFmtId="0" fontId="6" fillId="0" borderId="5" applyAlignment="1" pivotButton="0" quotePrefix="0" xfId="0">
      <alignment horizontal="left" vertical="center" wrapText="1"/>
    </xf>
    <xf numFmtId="0" fontId="3" fillId="0" borderId="6" pivotButton="0" quotePrefix="0" xfId="0"/>
    <xf numFmtId="0" fontId="6" fillId="5" borderId="5" applyAlignment="1" pivotButton="0" quotePrefix="0" xfId="0">
      <alignment horizontal="left" vertical="center" wrapText="1"/>
    </xf>
    <xf numFmtId="0" fontId="19" fillId="7" borderId="5" applyAlignment="1" pivotButton="0" quotePrefix="0" xfId="0">
      <alignment horizontal="left" vertical="center" wrapText="1"/>
    </xf>
    <xf numFmtId="0" fontId="3" fillId="0" borderId="7" pivotButton="0" quotePrefix="0" xfId="0"/>
    <xf numFmtId="0" fontId="20" fillId="2" borderId="1" applyAlignment="1" pivotButton="0" quotePrefix="0" xfId="0">
      <alignment horizontal="center" vertical="center" wrapText="1"/>
    </xf>
    <xf numFmtId="0" fontId="21" fillId="0" borderId="0" applyAlignment="1" pivotButton="0" quotePrefix="0" xfId="0">
      <alignment horizontal="left" vertical="center" wrapText="1"/>
    </xf>
    <xf numFmtId="0" fontId="22" fillId="2" borderId="1" applyAlignment="1" pivotButton="0" quotePrefix="0" xfId="0">
      <alignment horizontal="center" vertical="center" wrapText="1"/>
    </xf>
    <xf numFmtId="0" fontId="18" fillId="9" borderId="8" applyAlignment="1" pivotButton="0" quotePrefix="0" xfId="0">
      <alignment horizontal="center" vertical="center" wrapText="1"/>
    </xf>
    <xf numFmtId="0" fontId="3" fillId="0" borderId="9" pivotButton="0" quotePrefix="0" xfId="0"/>
    <xf numFmtId="0" fontId="24" fillId="5" borderId="5" applyAlignment="1" pivotButton="0" quotePrefix="0" xfId="0">
      <alignment horizontal="left" vertical="center" wrapText="1"/>
    </xf>
    <xf numFmtId="0" fontId="4" fillId="13" borderId="5" applyAlignment="1" pivotButton="0" quotePrefix="0" xfId="0">
      <alignment horizontal="center" vertical="center"/>
    </xf>
    <xf numFmtId="0" fontId="21" fillId="0" borderId="0" pivotButton="0" quotePrefix="0" xfId="0"/>
    <xf numFmtId="0" fontId="18" fillId="13" borderId="5" applyAlignment="1" pivotButton="0" quotePrefix="0" xfId="0">
      <alignment horizontal="center" vertical="center"/>
    </xf>
    <xf numFmtId="0" fontId="18" fillId="3" borderId="1" applyAlignment="1" pivotButton="0" quotePrefix="0" xfId="0">
      <alignment horizontal="center" vertical="center" wrapText="1"/>
    </xf>
    <xf numFmtId="0" fontId="8" fillId="4" borderId="1" applyAlignment="1" pivotButton="0" quotePrefix="0" xfId="0">
      <alignment horizontal="center" vertical="center" wrapText="1"/>
    </xf>
    <xf numFmtId="0" fontId="2" fillId="2" borderId="3" applyAlignment="1" pivotButton="0" quotePrefix="0" xfId="0">
      <alignment horizontal="center" vertical="center" wrapText="1"/>
    </xf>
    <xf numFmtId="0" fontId="4" fillId="3" borderId="3" applyAlignment="1" pivotButton="0" quotePrefix="0" xfId="0">
      <alignment horizontal="center" vertical="center" wrapText="1"/>
    </xf>
    <xf numFmtId="0" fontId="5" fillId="0" borderId="3" applyAlignment="1" pivotButton="0" quotePrefix="0" xfId="0">
      <alignment horizontal="left" vertical="center" wrapText="1"/>
    </xf>
    <xf numFmtId="0" fontId="6" fillId="0" borderId="3" applyAlignment="1" pivotButton="0" quotePrefix="0" xfId="0">
      <alignment horizontal="left" vertical="center" wrapText="1"/>
    </xf>
    <xf numFmtId="0" fontId="6" fillId="0" borderId="4" applyAlignment="1" pivotButton="0" quotePrefix="0" xfId="0">
      <alignment horizontal="left" vertical="center" wrapText="1"/>
    </xf>
    <xf numFmtId="0" fontId="0" fillId="0" borderId="6" pivotButton="0" quotePrefix="0" xfId="0"/>
    <xf numFmtId="0" fontId="6" fillId="5" borderId="4" applyAlignment="1" pivotButton="0" quotePrefix="0" xfId="0">
      <alignment horizontal="left" vertical="center" wrapText="1"/>
    </xf>
    <xf numFmtId="0" fontId="19" fillId="7" borderId="4" applyAlignment="1" pivotButton="0" quotePrefix="0" xfId="0">
      <alignment horizontal="left" vertical="center" wrapText="1"/>
    </xf>
    <xf numFmtId="0" fontId="0" fillId="0" borderId="7" pivotButton="0" quotePrefix="0" xfId="0"/>
    <xf numFmtId="0" fontId="20" fillId="2" borderId="3" applyAlignment="1" pivotButton="0" quotePrefix="0" xfId="0">
      <alignment horizontal="center" vertical="center" wrapText="1"/>
    </xf>
    <xf numFmtId="0" fontId="21" fillId="0" borderId="3" applyAlignment="1" pivotButton="0" quotePrefix="0" xfId="0">
      <alignment horizontal="left" vertical="center" wrapText="1"/>
    </xf>
    <xf numFmtId="0" fontId="22" fillId="2" borderId="3" applyAlignment="1" pivotButton="0" quotePrefix="0" xfId="0">
      <alignment horizontal="center" vertical="center" wrapText="1"/>
    </xf>
    <xf numFmtId="0" fontId="0" fillId="0" borderId="9" pivotButton="0" quotePrefix="0" xfId="0"/>
    <xf numFmtId="0" fontId="24" fillId="5" borderId="4" applyAlignment="1" pivotButton="0" quotePrefix="0" xfId="0">
      <alignment horizontal="left" vertical="center" wrapText="1"/>
    </xf>
    <xf numFmtId="0" fontId="21" fillId="0" borderId="3" pivotButton="0" quotePrefix="0" xfId="0"/>
    <xf numFmtId="0" fontId="18" fillId="3" borderId="3" applyAlignment="1" pivotButton="0" quotePrefix="0" xfId="0">
      <alignment horizontal="center" vertical="center" wrapText="1"/>
    </xf>
    <xf numFmtId="0" fontId="8" fillId="4" borderId="3" applyAlignment="1" pivotButton="0" quotePrefix="0" xfId="0">
      <alignment horizontal="center" vertical="center" wrapText="1"/>
    </xf>
    <xf numFmtId="0" fontId="18" fillId="13" borderId="4" applyAlignment="1" pivotButton="0" quotePrefix="0" xfId="0">
      <alignment horizontal="center" vertical="center"/>
    </xf>
  </cellXfs>
  <cellStyles count="1">
    <cellStyle name="Normal" xfId="0" builtinId="0"/>
  </cellStyles>
  <dxfs count="4"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5B3F86"/>
          <bgColor rgb="FF5B3F86"/>
        </patternFill>
      </fill>
    </dxf>
    <dxf>
      <border>
        <left style="thin">
          <color rgb="FF5B3F86"/>
        </left>
        <right style="thin">
          <color rgb="FF5B3F86"/>
        </right>
        <top style="thin">
          <color rgb="FF5B3F86"/>
        </top>
        <bottom style="thin">
          <color rgb="FF5B3F86"/>
        </bottom>
      </border>
    </dxf>
  </dxfs>
  <tableStyles count="1" defaultTableStyle="TableStyleMedium9" defaultPivotStyle="PivotStyleLight16">
    <tableStyle name="Form Responses 1-style" pivot="0" count="4">
      <tableStyleElement type="wholeTable" size="0" dxfId="3"/>
      <tableStyleElement type="headerRow" dxfId="2"/>
      <tableStyleElement type="firstRowStripe" dxfId="1"/>
      <tableStyleElement type="secondRowStripe" dxfId="0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SUS Scores per Participant — IPDC-OSS Platform</a:t>
            </a:r>
          </a:p>
        </rich>
      </tx>
      <overlay val="0"/>
    </title>
    <plotArea>
      <layout/>
      <barChart>
        <barDir val="col"/>
        <grouping val="clustered"/>
        <varyColors val="1"/>
        <ser>
          <idx val="0"/>
          <order val="0"/>
          <tx>
            <strRef>
              <f>'Summary &amp; Results'!$E$2</f>
              <strCache>
                <ptCount val="1"/>
                <pt idx="0">
                  <v>SUS Score</v>
                </pt>
              </strCache>
            </strRef>
          </tx>
          <spPr>
            <a:solidFill>
              <a:srgbClr val="1976D2"/>
            </a:solidFill>
            <a:ln cmpd="sng">
              <a:solidFill>
                <a:srgbClr val="000000"/>
              </a:solidFill>
              <a:prstDash val="solid"/>
            </a:ln>
          </spPr>
          <invertIfNegative val="1"/>
          <cat>
            <strRef>
              <f>'Summary &amp; Results'!$B$3:$B$11</f>
              <strCache>
                <ptCount val="9"/>
                <pt idx="0">
                  <v>P1</v>
                </pt>
                <pt idx="1">
                  <v>P2</v>
                </pt>
                <pt idx="2">
                  <v>P3</v>
                </pt>
                <pt idx="3">
                  <v>P4</v>
                </pt>
                <pt idx="4">
                  <v>P5</v>
                </pt>
                <pt idx="5">
                  <v>P6</v>
                </pt>
                <pt idx="6">
                  <v>P7</v>
                </pt>
                <pt idx="7">
                  <v>P8</v>
                </pt>
                <pt idx="8">
                  <v>P9</v>
                </pt>
              </strCache>
            </strRef>
          </cat>
          <val>
            <numRef>
              <f>'Summary &amp; Results'!$E$3:$E$11</f>
              <numCache>
                <formatCode>0.0</formatCode>
                <ptCount val="9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2049098492"/>
        <axId val="184894689"/>
      </barChart>
      <catAx>
        <axId val="2049098492"/>
        <scaling>
          <orientation val="minMax"/>
        </scaling>
        <delete val="0"/>
        <axPos val="b"/>
        <title>
          <tx>
            <rich>
              <a:bodyPr/>
              <a:lstStyle/>
              <a:p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Participant</a:t>
                </a:r>
              </a:p>
            </rich>
          </tx>
          <overlay val="0"/>
        </title>
        <numFmt formatCode="General" sourceLinked="1"/>
        <majorTickMark val="none"/>
        <minorTickMark val="none"/>
        <tickLblPos val="nextTo"/>
        <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  <a:endParaRPr lang="en-US"/>
          </a:p>
        </txPr>
        <crossAx val="184894689"/>
        <crosses val="autoZero"/>
        <auto val="1"/>
        <lblAlgn val="ctr"/>
        <lblOffset val="100"/>
        <noMultiLvlLbl val="1"/>
      </catAx>
      <valAx>
        <axId val="184894689"/>
        <scaling>
          <orientation val="minMax"/>
        </scaling>
        <delete val="0"/>
        <axPos val="l"/>
        <majorGridlines>
          <spPr>
            <a:ln>
              <a:solidFill>
                <a:srgbClr val="B7B7B7"/>
              </a:solidFill>
              <a:prstDash val="solid"/>
            </a:ln>
          </spPr>
        </majorGridlines>
        <title>
          <tx>
            <rich>
              <a:bodyPr/>
              <a:lstStyle/>
              <a:p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SUS Score</a:t>
                </a:r>
              </a:p>
            </rich>
          </tx>
          <overlay val="0"/>
        </title>
        <numFmt formatCode="0.0" sourceLinked="1"/>
        <majorTickMark val="none"/>
        <minorTickMark val="none"/>
        <tickLblPos val="nextTo"/>
        <spPr>
          <a:ln>
            <a:prstDash val="solid"/>
          </a:ln>
        </spPr>
        <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  <a:endParaRPr lang="en-US"/>
          </a:p>
        </txPr>
        <crossAx val="2049098492"/>
        <crosses val="autoZero"/>
        <crossBetween val="between"/>
      </valAx>
    </plotArea>
    <legend>
      <legendPos val="r"/>
      <overlay val="0"/>
      <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r>
            <a:t>None</a:t>
          </a:r>
          <a:endParaRPr lang="en-US"/>
        </a:p>
      </txPr>
    </legend>
    <plotVisOnly val="1"/>
    <dispBlanksAs val="zero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16</row>
      <rowOff>0</rowOff>
    </from>
    <ext cx="7191375" cy="4314825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 fLocksWithSheet="0"/>
  </oneCellAnchor>
</wsDr>
</file>

<file path=xl/tables/table1.xml><?xml version="1.0" encoding="utf-8"?>
<table xmlns="http://schemas.openxmlformats.org/spreadsheetml/2006/main" id="1" name="Form_Responses" displayName="Form_Responses" ref="A1:AB13" headerRowCount="1">
  <tableColumns count="28">
    <tableColumn id="1" name="Timestamp"/>
    <tableColumn id="2" name="Q1. In which role did you register to access the platform?"/>
    <tableColumn id="3" name="Q2.  Which industrial park or Special Economic Zone (SEZ) are you based at? / If you are new please skip"/>
    <tableColumn id="4" name="Q3.  What device did you use during the evaluation?"/>
    <tableColumn id="5" name="Q4.  How long have you been working at this park or SEZ / with IPDC?"/>
    <tableColumn id="6" name="Q5. Company name"/>
    <tableColumn id="7" name="Q6. Investment type"/>
    <tableColumn id="8" name="Q7. Industry sector"/>
    <tableColumn id="9" name="Q 8a. Which tasks did you complete during today's evaluation?"/>
    <tableColumn id="10" name="Q 8a. Which tasks did you complete during today's evaluation? 2"/>
    <tableColumn id="11" name="Q 8a. Which tasks did you complete during today's evaluation? 3"/>
    <tableColumn id="12" name="Q8b. During the offline simulation (airplane mode), which actions did you attempt?"/>
    <tableColumn id="13" name="_x000a_Q9. I think that I would like to use this system frequently."/>
    <tableColumn id="14" name="_x000a_Q10.  I found the system unnecessarily complex."/>
    <tableColumn id="15" name="_x000a_Q11.   I thought the system was easy to use."/>
    <tableColumn id="16" name="_x000a_Q12.   I think that I would need the support of a technical person to use this system."/>
    <tableColumn id="17" name="_x000a_Q13.   I found the various functions in this system were well integrated."/>
    <tableColumn id="18" name="_x000a_Q14.   I thought there was too much inconsistency in this system."/>
    <tableColumn id="19" name="_x000a_Q15.   I would imagine that most people would learn to use this system very quickly."/>
    <tableColumn id="20" name="_x000a_Q16.    I found the system very cumbersome to use."/>
    <tableColumn id="21" name="_x000a_Q17.  I felt very confident using the system."/>
    <tableColumn id="22" name="_x000a_Q18.  I needed to learn a lot of things before I could get going with this system."/>
    <tableColumn id="23" name="Q19.  How confident were you that your data was saved when the network was unavailable? (Linear scale 1–5: 1 = Not confident at all → 5 = Fully confident)"/>
    <tableColumn id="24" name="Q20.  Did the platform clearly communicate when you were offline vs. online?"/>
    <tableColumn id="25" name="Q21.  What did you find most useful about the platform?"/>
    <tableColumn id="26" name="Q22.  What was the most frustrating or confusing part?"/>
    <tableColumn id="27" name="Q23.  If you could change one thing about the platform, what would it be?"/>
    <tableColumn id="28" name="Q24. Any other comments or suggestions?"/>
  </tableColumns>
  <tableStyleInfo name="Form Responses 1-style" showFirstColumn="1" showLastColumn="1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0" summaryRight="0"/>
    <pageSetUpPr/>
  </sheetPr>
  <dimension ref="A1:AB13"/>
  <sheetViews>
    <sheetView tabSelected="1" workbookViewId="0">
      <pane ySplit="1" topLeftCell="A2" activePane="bottomLeft" state="frozen"/>
      <selection pane="bottomLeft" activeCell="C18" sqref="C18"/>
    </sheetView>
  </sheetViews>
  <sheetFormatPr baseColWidth="8" defaultColWidth="14.453125" defaultRowHeight="15" customHeight="1"/>
  <cols>
    <col width="21.6328125" customWidth="1" style="54" min="1" max="1"/>
    <col width="32" customWidth="1" style="54" min="2" max="2"/>
    <col width="43" customWidth="1" style="54" min="3" max="5"/>
    <col width="24" customWidth="1" style="54" min="6" max="6"/>
    <col width="24.26953125" customWidth="1" style="54" min="7" max="7"/>
    <col width="23.453125" customWidth="1" style="54" min="8" max="8"/>
    <col width="53.7265625" customWidth="1" style="54" min="9" max="9"/>
    <col width="52.90625" customWidth="1" style="54" min="10" max="10"/>
    <col width="43" customWidth="1" style="54" min="11" max="16"/>
    <col width="59.54296875" customWidth="1" style="54" min="17" max="17"/>
    <col width="43" customWidth="1" style="54" min="18" max="18"/>
    <col width="71.81640625" customWidth="1" style="54" min="19" max="19"/>
    <col width="43" customWidth="1" style="54" min="20" max="21"/>
    <col width="57.1796875" customWidth="1" style="54" min="22" max="22"/>
    <col width="49.453125" customWidth="1" style="54" min="23" max="23"/>
    <col width="43" customWidth="1" style="54" min="24" max="24"/>
    <col width="110.26953125" customWidth="1" style="54" min="25" max="25"/>
    <col width="86.1796875" customWidth="1" style="54" min="26" max="26"/>
    <col width="59.90625" customWidth="1" style="54" min="27" max="27"/>
    <col width="65.6328125" customWidth="1" style="54" min="28" max="28"/>
    <col width="21.54296875" customWidth="1" style="54" min="29" max="34"/>
  </cols>
  <sheetData>
    <row r="1" ht="22.5" customHeight="1" s="54">
      <c r="A1" s="1" t="inlineStr">
        <is>
          <t>Timestamp</t>
        </is>
      </c>
      <c r="B1" s="1" t="inlineStr">
        <is>
          <t>Q1. In which role did you register to access the platform?</t>
        </is>
      </c>
      <c r="C1" s="1" t="inlineStr">
        <is>
          <t>Q2.  Which industrial park or Special Economic Zone (SEZ) are you based at? / If you are new please skip</t>
        </is>
      </c>
      <c r="D1" s="1" t="inlineStr">
        <is>
          <t>Q3.  What device did you use during the evaluation?</t>
        </is>
      </c>
      <c r="E1" s="1" t="inlineStr">
        <is>
          <t>Q4.  How long have you been working at this park or SEZ / with IPDC?</t>
        </is>
      </c>
      <c r="F1" s="1" t="inlineStr">
        <is>
          <t>Q5. Company name</t>
        </is>
      </c>
      <c r="G1" s="1" t="inlineStr">
        <is>
          <t>Q6. Investment type</t>
        </is>
      </c>
      <c r="H1" s="1" t="inlineStr">
        <is>
          <t>Q7. Industry sector</t>
        </is>
      </c>
      <c r="I1" s="1" t="inlineStr">
        <is>
          <t>Q 8a. Which tasks did you complete during today's evaluation?</t>
        </is>
      </c>
      <c r="J1" s="1" t="inlineStr">
        <is>
          <t>Q 8a. Which tasks did you complete during today's evaluation? 2</t>
        </is>
      </c>
      <c r="K1" s="1" t="inlineStr">
        <is>
          <t>Q 8a. Which tasks did you complete during today's evaluation? 3</t>
        </is>
      </c>
      <c r="L1" s="1" t="inlineStr">
        <is>
          <t>Q8b. During the offline simulation (airplane mode), which actions did you attempt?</t>
        </is>
      </c>
      <c r="M1" s="1" t="inlineStr">
        <is>
          <t xml:space="preserve">
Q9. I think that I would like to use this system frequently.</t>
        </is>
      </c>
      <c r="N1" s="1" t="inlineStr">
        <is>
          <t xml:space="preserve">
Q10.  I found the system unnecessarily complex.</t>
        </is>
      </c>
      <c r="O1" s="1" t="inlineStr">
        <is>
          <t xml:space="preserve">
Q11.   I thought the system was easy to use.</t>
        </is>
      </c>
      <c r="P1" s="1" t="inlineStr">
        <is>
          <t xml:space="preserve">
Q12.   I think that I would need the support of a technical person to use this system.</t>
        </is>
      </c>
      <c r="Q1" s="1" t="inlineStr">
        <is>
          <t xml:space="preserve">
Q13.   I found the various functions in this system were well integrated.</t>
        </is>
      </c>
      <c r="R1" s="1" t="inlineStr">
        <is>
          <t xml:space="preserve">
Q14.   I thought there was too much inconsistency in this system.</t>
        </is>
      </c>
      <c r="S1" s="1" t="inlineStr">
        <is>
          <t xml:space="preserve">
Q15.   I would imagine that most people would learn to use this system very quickly.</t>
        </is>
      </c>
      <c r="T1" s="1" t="inlineStr">
        <is>
          <t xml:space="preserve">
Q16.    I found the system very cumbersome to use.</t>
        </is>
      </c>
      <c r="U1" s="1" t="inlineStr">
        <is>
          <t xml:space="preserve">
Q17.  I felt very confident using the system.</t>
        </is>
      </c>
      <c r="V1" s="1" t="inlineStr">
        <is>
          <t xml:space="preserve">
Q18.  I needed to learn a lot of things before I could get going with this system.</t>
        </is>
      </c>
      <c r="W1" s="1" t="inlineStr">
        <is>
          <t>Q19.  How confident were you that your data was saved when the network was unavailable? (Linear scale 1–5: 1 = Not confident at all → 5 = Fully confident)</t>
        </is>
      </c>
      <c r="X1" s="1" t="inlineStr">
        <is>
          <t>Q20.  Did the platform clearly communicate when you were offline vs. online?</t>
        </is>
      </c>
      <c r="Y1" s="1" t="inlineStr">
        <is>
          <t>Q21.  What did you find most useful about the platform?</t>
        </is>
      </c>
      <c r="Z1" s="1" t="inlineStr">
        <is>
          <t>Q22.  What was the most frustrating or confusing part?</t>
        </is>
      </c>
      <c r="AA1" s="1" t="inlineStr">
        <is>
          <t>Q23.  If you could change one thing about the platform, what would it be?</t>
        </is>
      </c>
      <c r="AB1" s="1" t="inlineStr">
        <is>
          <t>Q24. Any other comments or suggestions?</t>
        </is>
      </c>
    </row>
    <row r="2" ht="22.5" customHeight="1" s="54">
      <c r="A2" s="5" t="n">
        <v>46090.50363871528</v>
      </c>
      <c r="B2" s="6" t="inlineStr">
        <is>
          <t>IPDC Management Staff</t>
        </is>
      </c>
      <c r="C2" s="6" t="inlineStr">
        <is>
          <t>IPDC Headquarters</t>
        </is>
      </c>
      <c r="D2" s="48" t="inlineStr">
        <is>
          <t>Smartphone (Chrome  browser)</t>
        </is>
      </c>
      <c r="E2" s="6" t="inlineStr">
        <is>
          <t>More than 3 years</t>
        </is>
      </c>
      <c r="F2" s="6" t="n"/>
      <c r="G2" s="6" t="n"/>
      <c r="H2" s="6" t="n"/>
      <c r="I2" s="6" t="inlineStr">
        <is>
          <t>Reviewed and approved or rejected a tenant service request, Resolved a tenant complaint with resolution notes, Published a park-wide announcement, Viewed request analytics and summary dashboard</t>
        </is>
      </c>
      <c r="J2" s="6" t="n"/>
      <c r="K2" s="6" t="n"/>
      <c r="L2" s="6" t="inlineStr">
        <is>
          <t>Browsed the dashboard while offline, Reviewed or processed a request while offline (Management), Logged out, then logged back in while offline using previously cached credentials, Received a sync confirmation banner when the network was restored</t>
        </is>
      </c>
      <c r="M2" s="6" t="n">
        <v>5</v>
      </c>
      <c r="N2" s="6" t="n">
        <v>1</v>
      </c>
      <c r="O2" s="6" t="n">
        <v>5</v>
      </c>
      <c r="P2" s="6" t="n">
        <v>2</v>
      </c>
      <c r="Q2" s="6" t="n">
        <v>5</v>
      </c>
      <c r="R2" s="6" t="n">
        <v>2</v>
      </c>
      <c r="S2" s="6" t="n">
        <v>4</v>
      </c>
      <c r="T2" s="6" t="n">
        <v>2</v>
      </c>
      <c r="U2" s="6" t="n">
        <v>5</v>
      </c>
      <c r="V2" s="6" t="n">
        <v>2</v>
      </c>
      <c r="W2" s="6" t="n">
        <v>4</v>
      </c>
      <c r="X2" s="6" t="inlineStr">
        <is>
          <t>Yes, it was always clear</t>
        </is>
      </c>
      <c r="Y2" s="6" t="inlineStr">
        <is>
          <t>The offline Capability of the platform</t>
        </is>
      </c>
      <c r="Z2" s="6" t="inlineStr">
        <is>
          <t>It was not confusing at all</t>
        </is>
      </c>
      <c r="AA2" s="6" t="inlineStr">
        <is>
          <t>Adding Amharic language (multimodal)</t>
        </is>
      </c>
      <c r="AB2" s="48" t="inlineStr">
        <is>
          <t>Upgrade this platform to production stage</t>
        </is>
      </c>
    </row>
    <row r="3" ht="22.5" customHeight="1" s="54">
      <c r="A3" s="5" t="n">
        <v>46097.05842277778</v>
      </c>
      <c r="B3" s="6" t="inlineStr">
        <is>
          <t>Tenant Company Representative</t>
        </is>
      </c>
      <c r="C3" s="6" t="inlineStr">
        <is>
          <t>IPDC Headquarters</t>
        </is>
      </c>
      <c r="D3" s="6" t="inlineStr">
        <is>
          <t>Desktop Computer ( Opera  browser)</t>
        </is>
      </c>
      <c r="E3" s="6" t="inlineStr">
        <is>
          <t>New or not settled in IPDC</t>
        </is>
      </c>
      <c r="F3" s="6" t="inlineStr">
        <is>
          <t>LF</t>
        </is>
      </c>
      <c r="G3" s="6" t="inlineStr">
        <is>
          <t>Foreign-invested enterprise</t>
        </is>
      </c>
      <c r="H3" s="6" t="inlineStr">
        <is>
          <t>Other: ________</t>
        </is>
      </c>
      <c r="J3" s="6" t="inlineStr">
        <is>
          <t>Submitted a new service request</t>
        </is>
      </c>
      <c r="L3" s="6" t="inlineStr">
        <is>
          <t>Submitted a service request while offline (Tenant)</t>
        </is>
      </c>
      <c r="M3" s="6" t="n">
        <v>4</v>
      </c>
      <c r="N3" s="6" t="n">
        <v>2</v>
      </c>
      <c r="O3" s="6" t="n">
        <v>5</v>
      </c>
      <c r="P3" s="6" t="n">
        <v>2</v>
      </c>
      <c r="Q3" s="6" t="n">
        <v>4</v>
      </c>
      <c r="R3" s="6" t="n">
        <v>2</v>
      </c>
      <c r="S3" s="6" t="n">
        <v>4</v>
      </c>
      <c r="T3" s="6" t="n">
        <v>1</v>
      </c>
      <c r="U3" s="6" t="n">
        <v>4</v>
      </c>
      <c r="V3" s="6" t="n">
        <v>2</v>
      </c>
      <c r="W3" s="6" t="n">
        <v>4</v>
      </c>
      <c r="X3" s="6" t="inlineStr">
        <is>
          <t>Yes, it was always clear</t>
        </is>
      </c>
      <c r="Y3" s="6" t="inlineStr">
        <is>
          <t>to solve the problems easily and efficiently</t>
        </is>
      </c>
      <c r="Z3" s="48" t="inlineStr">
        <is>
          <t>Not frustrating part</t>
        </is>
      </c>
      <c r="AA3" s="48" t="inlineStr">
        <is>
          <t>It met the Prototype qualification</t>
        </is>
      </c>
      <c r="AB3" s="48" t="n"/>
    </row>
    <row r="4" ht="22.5" customHeight="1" s="54">
      <c r="A4" s="5" t="n">
        <v>46099.23142234953</v>
      </c>
      <c r="B4" s="6" t="inlineStr">
        <is>
          <t>IPDC Management Staff</t>
        </is>
      </c>
      <c r="C4" s="6" t="inlineStr">
        <is>
          <t>IPDC Headquarters</t>
        </is>
      </c>
      <c r="D4" s="6" t="inlineStr">
        <is>
          <t>Laptop (Chrome  browser)</t>
        </is>
      </c>
      <c r="E4" s="6" t="inlineStr">
        <is>
          <t>More than 3 years</t>
        </is>
      </c>
      <c r="I4" s="6" t="inlineStr">
        <is>
          <t>Resolved a tenant complaint with resolution notes</t>
        </is>
      </c>
      <c r="L4" s="6" t="inlineStr">
        <is>
          <t>Completed / updated a task while offline (Operations)</t>
        </is>
      </c>
      <c r="M4" s="6" t="n">
        <v>5</v>
      </c>
      <c r="N4" s="6" t="n">
        <v>1</v>
      </c>
      <c r="O4" s="6" t="n">
        <v>4</v>
      </c>
      <c r="P4" s="6" t="n">
        <v>1</v>
      </c>
      <c r="Q4" s="6" t="n">
        <v>5</v>
      </c>
      <c r="R4" s="6" t="n">
        <v>1</v>
      </c>
      <c r="S4" s="6" t="n">
        <v>4</v>
      </c>
      <c r="T4" s="6" t="n">
        <v>2</v>
      </c>
      <c r="U4" s="6" t="n">
        <v>5</v>
      </c>
      <c r="V4" s="6" t="n">
        <v>1</v>
      </c>
      <c r="W4" s="6" t="n">
        <v>5</v>
      </c>
      <c r="X4" s="6" t="inlineStr">
        <is>
          <t>Yes, it was always clear</t>
        </is>
      </c>
      <c r="Y4" s="6" t="inlineStr">
        <is>
          <t>I simplify every activity.</t>
        </is>
      </c>
      <c r="Z4" s="48" t="inlineStr">
        <is>
          <t>It was reliable during online and online</t>
        </is>
      </c>
      <c r="AA4" s="6" t="inlineStr">
        <is>
          <t>I am ok with existing.</t>
        </is>
      </c>
      <c r="AB4" s="6" t="inlineStr">
        <is>
          <t>The platform is good....</t>
        </is>
      </c>
    </row>
    <row r="5" ht="22.5" customHeight="1" s="54">
      <c r="A5" s="5" t="n">
        <v>46099.24636091435</v>
      </c>
      <c r="B5" s="6" t="inlineStr">
        <is>
          <t>Operations / Facility Staff</t>
        </is>
      </c>
      <c r="C5" s="6" t="inlineStr">
        <is>
          <t>IPDC Headquarters</t>
        </is>
      </c>
      <c r="D5" s="6" t="inlineStr">
        <is>
          <t>Laptop (Chrome  browser)</t>
        </is>
      </c>
      <c r="E5" s="6" t="inlineStr">
        <is>
          <t>More than 3 years</t>
        </is>
      </c>
      <c r="K5" s="6" t="inlineStr">
        <is>
          <t>Completed an assigned task and confirmed token deduction</t>
        </is>
      </c>
      <c r="L5" s="6" t="inlineStr">
        <is>
          <t>Submitted a service request while offline (Tenant)</t>
        </is>
      </c>
      <c r="M5" s="6" t="n">
        <v>4</v>
      </c>
      <c r="N5" s="6" t="n">
        <v>1</v>
      </c>
      <c r="O5" s="6" t="n">
        <v>5</v>
      </c>
      <c r="P5" s="6" t="n">
        <v>2</v>
      </c>
      <c r="Q5" s="6" t="n">
        <v>5</v>
      </c>
      <c r="R5" s="6" t="n">
        <v>2</v>
      </c>
      <c r="S5" s="6" t="n">
        <v>4</v>
      </c>
      <c r="T5" s="6" t="n">
        <v>1</v>
      </c>
      <c r="U5" s="6" t="n">
        <v>4</v>
      </c>
      <c r="V5" s="6" t="n">
        <v>2</v>
      </c>
      <c r="W5" s="6" t="n">
        <v>4</v>
      </c>
      <c r="X5" s="6" t="inlineStr">
        <is>
          <t>Yes, it was always clear</t>
        </is>
      </c>
      <c r="Y5" s="6" t="inlineStr">
        <is>
          <t xml:space="preserve">Simplicity </t>
        </is>
      </c>
      <c r="Z5" s="6" t="inlineStr">
        <is>
          <t xml:space="preserve">None </t>
        </is>
      </c>
      <c r="AA5" s="6" t="inlineStr">
        <is>
          <t xml:space="preserve">None </t>
        </is>
      </c>
      <c r="AB5" s="6" t="inlineStr">
        <is>
          <t xml:space="preserve">It is wonderfully done. </t>
        </is>
      </c>
    </row>
    <row r="6" ht="22.5" customHeight="1" s="54">
      <c r="A6" s="5" t="n">
        <v>46099.25548753472</v>
      </c>
      <c r="B6" s="6" t="inlineStr">
        <is>
          <t>IPDC Management Staff</t>
        </is>
      </c>
      <c r="C6" s="6" t="inlineStr">
        <is>
          <t>IPDC Headquarters</t>
        </is>
      </c>
      <c r="D6" s="6" t="inlineStr">
        <is>
          <t>Laptop (Chrome  browser)</t>
        </is>
      </c>
      <c r="E6" s="6" t="inlineStr">
        <is>
          <t>More than 3 years</t>
        </is>
      </c>
      <c r="I6" s="6" t="inlineStr">
        <is>
          <t>Viewed request analytics and summary dashboard</t>
        </is>
      </c>
      <c r="L6" s="6" t="inlineStr">
        <is>
          <t>Received a sync confirmation banner when the network was restored</t>
        </is>
      </c>
      <c r="M6" s="6" t="n">
        <v>4</v>
      </c>
      <c r="N6" s="6" t="n">
        <v>1</v>
      </c>
      <c r="O6" s="6" t="n">
        <v>4</v>
      </c>
      <c r="P6" s="6" t="n">
        <v>1</v>
      </c>
      <c r="Q6" s="6" t="n">
        <v>4</v>
      </c>
      <c r="R6" s="6" t="n">
        <v>1</v>
      </c>
      <c r="S6" s="6" t="n">
        <v>5</v>
      </c>
      <c r="T6" s="6" t="n">
        <v>2</v>
      </c>
      <c r="U6" s="6" t="n">
        <v>4</v>
      </c>
      <c r="V6" s="6" t="n">
        <v>2</v>
      </c>
      <c r="W6" s="6" t="n">
        <v>4</v>
      </c>
      <c r="X6" s="6" t="inlineStr">
        <is>
          <t>Yes, it was always clear</t>
        </is>
      </c>
      <c r="Y6" s="6" t="inlineStr">
        <is>
          <t>it is very crucial</t>
        </is>
      </c>
      <c r="Z6" s="6" t="inlineStr">
        <is>
          <t xml:space="preserve">None </t>
        </is>
      </c>
      <c r="AA6" s="48" t="inlineStr">
        <is>
          <t>nothing for now</t>
        </is>
      </c>
      <c r="AB6" s="48" t="inlineStr">
        <is>
          <t xml:space="preserve">The platform should be reliable for sustainable usage </t>
        </is>
      </c>
    </row>
    <row r="7" ht="22.5" customHeight="1" s="54">
      <c r="A7" s="5" t="n">
        <v>46099.25578788194</v>
      </c>
      <c r="B7" s="6" t="inlineStr">
        <is>
          <t>Operations / Facility Staff</t>
        </is>
      </c>
      <c r="C7" s="6" t="inlineStr">
        <is>
          <t>IPDC Headquarters</t>
        </is>
      </c>
      <c r="D7" s="6" t="inlineStr">
        <is>
          <t>Laptop (Chrome  browser)</t>
        </is>
      </c>
      <c r="E7" s="6" t="inlineStr">
        <is>
          <t>1–3 years</t>
        </is>
      </c>
      <c r="K7" s="6" t="inlineStr">
        <is>
          <t>Viewed the Approved Requests queue and accepted a task, Completed an assigned task and confirmed token deduction, Reviewed completed task history</t>
        </is>
      </c>
      <c r="L7" s="6" t="inlineStr">
        <is>
          <t>Completed / updated a task while offline (Operations)</t>
        </is>
      </c>
      <c r="M7" s="6" t="n">
        <v>4</v>
      </c>
      <c r="N7" s="6" t="n">
        <v>2</v>
      </c>
      <c r="O7" s="6" t="n">
        <v>5</v>
      </c>
      <c r="P7" s="6" t="n">
        <v>2</v>
      </c>
      <c r="Q7" s="6" t="n">
        <v>4</v>
      </c>
      <c r="R7" s="6" t="n">
        <v>1</v>
      </c>
      <c r="S7" s="6" t="n">
        <v>4</v>
      </c>
      <c r="T7" s="6" t="n">
        <v>1</v>
      </c>
      <c r="U7" s="6" t="n">
        <v>4</v>
      </c>
      <c r="V7" s="6" t="n">
        <v>2</v>
      </c>
      <c r="W7" s="6" t="n">
        <v>4</v>
      </c>
      <c r="X7" s="6" t="inlineStr">
        <is>
          <t>Yes, it was always clear</t>
        </is>
      </c>
      <c r="Y7" s="6" t="inlineStr">
        <is>
          <t>It's easy to use and user friendly</t>
        </is>
      </c>
      <c r="Z7" s="6" t="inlineStr">
        <is>
          <t>I haven't found anything frustrating</t>
        </is>
      </c>
      <c r="AA7" s="48" t="inlineStr">
        <is>
          <t>It's ok for a prototype, can be expanded for production</t>
        </is>
      </c>
      <c r="AB7" s="6" t="inlineStr">
        <is>
          <t>Good Job Keep It up !</t>
        </is>
      </c>
    </row>
    <row r="8" ht="22.5" customHeight="1" s="54">
      <c r="A8" s="5" t="n">
        <v>46099.25783776621</v>
      </c>
      <c r="B8" s="6" t="inlineStr">
        <is>
          <t>Operations / Facility Staff</t>
        </is>
      </c>
      <c r="C8" s="6" t="inlineStr">
        <is>
          <t>IPDC Headquarters</t>
        </is>
      </c>
      <c r="D8" s="6" t="inlineStr">
        <is>
          <t>Laptop (Chrome  browser)</t>
        </is>
      </c>
      <c r="E8" s="6" t="inlineStr">
        <is>
          <t>More than 3 years</t>
        </is>
      </c>
      <c r="K8" s="6" t="inlineStr">
        <is>
          <t>Viewed the Approved Requests queue and accepted a task</t>
        </is>
      </c>
      <c r="L8" s="6" t="inlineStr">
        <is>
          <t>Browsed the dashboard while offline, Completed / updated a task while offline (Operations), Reviewed or processed a request while offline (Management), Logged out, then logged back in while offline using previously cached credentials, Received a sync confirmation banner when the network was restored</t>
        </is>
      </c>
      <c r="M8" s="6" t="n">
        <v>4</v>
      </c>
      <c r="N8" s="6" t="n">
        <v>1</v>
      </c>
      <c r="O8" s="6" t="n">
        <v>5</v>
      </c>
      <c r="P8" s="6" t="n">
        <v>1</v>
      </c>
      <c r="Q8" s="6" t="n">
        <v>5</v>
      </c>
      <c r="R8" s="6" t="n">
        <v>2</v>
      </c>
      <c r="S8" s="6" t="n">
        <v>5</v>
      </c>
      <c r="T8" s="6" t="n">
        <v>2</v>
      </c>
      <c r="U8" s="6" t="n">
        <v>5</v>
      </c>
      <c r="V8" s="6" t="n">
        <v>2</v>
      </c>
      <c r="W8" s="6" t="n">
        <v>5</v>
      </c>
      <c r="X8" s="6" t="inlineStr">
        <is>
          <t>Yes, it was always clear</t>
        </is>
      </c>
      <c r="Y8" s="6" t="inlineStr">
        <is>
          <t>the platform saves time, energy and manpower to accelerate the facility and solve the requests</t>
        </is>
      </c>
      <c r="Z8" s="48" t="inlineStr">
        <is>
          <t>no any</t>
        </is>
      </c>
      <c r="AA8" s="6" t="inlineStr">
        <is>
          <t>primarily enough to get into the access</t>
        </is>
      </c>
      <c r="AB8" s="6" t="inlineStr">
        <is>
          <t>for the future it should be open to upgrade when any updates and data to add</t>
        </is>
      </c>
    </row>
    <row r="9" ht="22.5" customHeight="1" s="54">
      <c r="A9" s="5" t="n">
        <v>46099.26724091435</v>
      </c>
      <c r="B9" s="6" t="inlineStr">
        <is>
          <t>Operations / Facility Staff</t>
        </is>
      </c>
      <c r="C9" s="6" t="inlineStr">
        <is>
          <t>IPDC Headquarters</t>
        </is>
      </c>
      <c r="D9" s="6" t="inlineStr">
        <is>
          <t>Desktop Computer (Chrome  browser)</t>
        </is>
      </c>
      <c r="E9" s="6" t="inlineStr">
        <is>
          <t>More than 3 years</t>
        </is>
      </c>
      <c r="K9" s="6" t="inlineStr">
        <is>
          <t>Viewed the Approved Requests queue and accepted a task, Completed an assigned task and confirmed token deduction, Reviewed completed task history</t>
        </is>
      </c>
      <c r="L9" s="6" t="inlineStr">
        <is>
          <t>Completed / updated a task while offline (Operations), Reviewed or processed a request while offline (Management)</t>
        </is>
      </c>
      <c r="M9" s="6" t="n">
        <v>5</v>
      </c>
      <c r="N9" s="6" t="n">
        <v>1</v>
      </c>
      <c r="O9" s="6" t="n">
        <v>5</v>
      </c>
      <c r="P9" s="6" t="n">
        <v>1</v>
      </c>
      <c r="Q9" s="6" t="n">
        <v>5</v>
      </c>
      <c r="R9" s="6" t="n">
        <v>2</v>
      </c>
      <c r="S9" s="6" t="n">
        <v>5</v>
      </c>
      <c r="T9" s="6" t="n">
        <v>2</v>
      </c>
      <c r="U9" s="6" t="n">
        <v>5</v>
      </c>
      <c r="V9" s="6" t="n">
        <v>2</v>
      </c>
      <c r="W9" s="6" t="n">
        <v>4</v>
      </c>
      <c r="X9" s="6" t="inlineStr">
        <is>
          <t>Yes, it was always clear</t>
        </is>
      </c>
      <c r="Y9" s="6" t="inlineStr">
        <is>
          <t>it is nice</t>
        </is>
      </c>
      <c r="Z9" s="48" t="inlineStr">
        <is>
          <t>nothing</t>
        </is>
      </c>
      <c r="AA9" s="48" t="inlineStr">
        <is>
          <t>Good enough for Prototype</t>
        </is>
      </c>
      <c r="AB9" s="6" t="inlineStr">
        <is>
          <t>just nice and impressing job,</t>
        </is>
      </c>
    </row>
    <row r="10" ht="22.5" customHeight="1" s="54">
      <c r="A10" s="5" t="n">
        <v>46099.2790071875</v>
      </c>
      <c r="B10" s="6" t="inlineStr">
        <is>
          <t>Tenant Company Representative</t>
        </is>
      </c>
      <c r="C10" s="6" t="inlineStr">
        <is>
          <t>Kilinto Special Economic Zone</t>
        </is>
      </c>
      <c r="D10" s="6" t="inlineStr">
        <is>
          <t>Smartphone (Opera  browser)</t>
        </is>
      </c>
      <c r="E10" s="6" t="inlineStr">
        <is>
          <t>Less than 1 year</t>
        </is>
      </c>
      <c r="F10" s="6" t="inlineStr">
        <is>
          <t>Droga Farm</t>
        </is>
      </c>
      <c r="G10" s="6" t="inlineStr">
        <is>
          <t>Local (Ethiopian) enterprise</t>
        </is>
      </c>
      <c r="H10" s="6" t="inlineStr">
        <is>
          <t>Pharmaceuticals</t>
        </is>
      </c>
      <c r="J10" s="6" t="inlineStr">
        <is>
          <t>Submitted a new service request, Checked token balance and transaction history, Filed a complaint on a completed service, Received and read an in-app bell notification</t>
        </is>
      </c>
      <c r="L10" s="6" t="inlineStr">
        <is>
          <t>Browsed the dashboard while offline, Submitted a service request while offline (Tenant), Completed / updated a task while offline (Operations), Reviewed or processed a request while offline (Management), Logged out, then logged back in while offline using previously cached credentials, Received a sync confirmation banner when the network was restored</t>
        </is>
      </c>
      <c r="M10" s="6" t="n">
        <v>4</v>
      </c>
      <c r="N10" s="6" t="n">
        <v>2</v>
      </c>
      <c r="O10" s="6" t="n">
        <v>5</v>
      </c>
      <c r="P10" s="6" t="n">
        <v>2</v>
      </c>
      <c r="Q10" s="6" t="n">
        <v>5</v>
      </c>
      <c r="R10" s="6" t="n">
        <v>2</v>
      </c>
      <c r="S10" s="6" t="n">
        <v>5</v>
      </c>
      <c r="T10" s="6" t="n">
        <v>2</v>
      </c>
      <c r="U10" s="6" t="n">
        <v>5</v>
      </c>
      <c r="V10" s="6" t="n">
        <v>2</v>
      </c>
      <c r="W10" s="6" t="n">
        <v>4</v>
      </c>
      <c r="X10" s="6" t="inlineStr">
        <is>
          <t>Yes, it was always clear</t>
        </is>
      </c>
      <c r="Y10" s="6" t="inlineStr">
        <is>
          <t>it leads IPDC and Tenants to make a clear and simple communication page, simplify the process, allocate the resources, create a good management, facilitate the requests by saving time, energy and cost</t>
        </is>
      </c>
      <c r="Z10" s="6" t="inlineStr">
        <is>
          <t>no for the time being</t>
        </is>
      </c>
      <c r="AA10" s="48" t="inlineStr">
        <is>
          <t>The home page cover can be more customized</t>
        </is>
      </c>
      <c r="AB10" s="6" t="n"/>
    </row>
    <row r="11" ht="22.5" customHeight="1" s="54">
      <c r="A11" s="5" t="n">
        <v>46099.30596916666</v>
      </c>
      <c r="B11" s="6" t="inlineStr">
        <is>
          <t>Operations / Facility Staff</t>
        </is>
      </c>
      <c r="C11" s="6" t="inlineStr">
        <is>
          <t>IPDC Headquarters</t>
        </is>
      </c>
      <c r="D11" s="48" t="inlineStr">
        <is>
          <t>Laptop (Chrome  browser)</t>
        </is>
      </c>
      <c r="E11" s="6" t="inlineStr">
        <is>
          <t>More than 3 years</t>
        </is>
      </c>
      <c r="K11" s="6" t="inlineStr">
        <is>
          <t>Completed an assigned task and confirmed token deduction</t>
        </is>
      </c>
      <c r="L11" s="6" t="inlineStr">
        <is>
          <t>Submitted a service request while offline (Tenant)</t>
        </is>
      </c>
      <c r="M11" s="6" t="n">
        <v>5</v>
      </c>
      <c r="N11" s="6" t="n">
        <v>2</v>
      </c>
      <c r="O11" s="6" t="n">
        <v>5</v>
      </c>
      <c r="P11" s="6" t="n">
        <v>2</v>
      </c>
      <c r="Q11" s="6" t="n">
        <v>4</v>
      </c>
      <c r="R11" s="6" t="n">
        <v>1</v>
      </c>
      <c r="S11" s="6" t="n">
        <v>4</v>
      </c>
      <c r="T11" s="6" t="n">
        <v>1</v>
      </c>
      <c r="U11" s="6" t="n">
        <v>5</v>
      </c>
      <c r="V11" s="6" t="n">
        <v>2</v>
      </c>
      <c r="W11" s="6" t="n">
        <v>4</v>
      </c>
      <c r="X11" s="6" t="inlineStr">
        <is>
          <t>Sometimes clear, sometimes not</t>
        </is>
      </c>
      <c r="Y11" s="48" t="inlineStr">
        <is>
          <t>for tenant and ipdc it is relevant</t>
        </is>
      </c>
      <c r="Z11" s="6" t="inlineStr">
        <is>
          <t>nothing</t>
        </is>
      </c>
      <c r="AA11" s="48" t="inlineStr">
        <is>
          <t>nothing for now</t>
        </is>
      </c>
      <c r="AB11" s="48" t="inlineStr">
        <is>
          <t>Upgrade this platform to production stage</t>
        </is>
      </c>
    </row>
    <row r="12" ht="22.5" customHeight="1" s="54">
      <c r="A12" s="5" t="n">
        <v>46099.30711689815</v>
      </c>
      <c r="B12" s="6" t="inlineStr">
        <is>
          <t>Operations / Facility Staff</t>
        </is>
      </c>
      <c r="C12" s="6" t="inlineStr">
        <is>
          <t>IPDC Headquarters</t>
        </is>
      </c>
      <c r="D12" s="6" t="inlineStr">
        <is>
          <t>Laptop (Chrome  browser)</t>
        </is>
      </c>
      <c r="E12" s="6" t="inlineStr">
        <is>
          <t>More than 3 years</t>
        </is>
      </c>
      <c r="K12" s="6" t="inlineStr">
        <is>
          <t>Completed an assigned task and confirmed token deduction</t>
        </is>
      </c>
      <c r="L12" s="6" t="inlineStr">
        <is>
          <t>Completed / updated a task while offline (Operations)</t>
        </is>
      </c>
      <c r="M12" s="6" t="n">
        <v>4</v>
      </c>
      <c r="N12" s="6" t="n">
        <v>1</v>
      </c>
      <c r="O12" s="6" t="n">
        <v>5</v>
      </c>
      <c r="P12" s="6" t="n">
        <v>1</v>
      </c>
      <c r="Q12" s="6" t="n">
        <v>4</v>
      </c>
      <c r="R12" s="6" t="n">
        <v>2</v>
      </c>
      <c r="S12" s="6" t="n">
        <v>4</v>
      </c>
      <c r="T12" s="6" t="n">
        <v>2</v>
      </c>
      <c r="U12" s="6" t="n">
        <v>4</v>
      </c>
      <c r="V12" s="6" t="n">
        <v>1</v>
      </c>
      <c r="W12" s="6" t="n">
        <v>4</v>
      </c>
      <c r="X12" s="6" t="inlineStr">
        <is>
          <t>Yes, it was always clear</t>
        </is>
      </c>
      <c r="Y12" s="6" t="inlineStr">
        <is>
          <t>Important points are incorporated in the platform.</t>
        </is>
      </c>
      <c r="Z12" s="6" t="inlineStr">
        <is>
          <t>There is no frustrating part.</t>
        </is>
      </c>
      <c r="AA12" s="48" t="inlineStr">
        <is>
          <t>I am ok with existing.</t>
        </is>
      </c>
    </row>
    <row r="13" ht="22.5" customHeight="1" s="54">
      <c r="A13" s="5" t="n">
        <v>46103.97938486111</v>
      </c>
      <c r="B13" s="6" t="inlineStr">
        <is>
          <t>Tenant Company Representative</t>
        </is>
      </c>
      <c r="C13" s="6" t="inlineStr">
        <is>
          <t>Kilinto Special Economic Zone</t>
        </is>
      </c>
      <c r="D13" s="48" t="inlineStr">
        <is>
          <t>Smartphone (Chrome  browser)</t>
        </is>
      </c>
      <c r="E13" s="6" t="inlineStr">
        <is>
          <t>1–3 years</t>
        </is>
      </c>
      <c r="F13" s="6" t="inlineStr">
        <is>
          <t>Glocare/TKBD Plc</t>
        </is>
      </c>
      <c r="G13" s="6" t="inlineStr">
        <is>
          <t>Foreign-invested enterprise</t>
        </is>
      </c>
      <c r="H13" s="6" t="inlineStr">
        <is>
          <t>Pharmaceuticals</t>
        </is>
      </c>
      <c r="J13" s="6" t="inlineStr">
        <is>
          <t>Submitted a new service request, Filed a complaint on a completed service</t>
        </is>
      </c>
      <c r="L13" s="6" t="inlineStr">
        <is>
          <t>Browsed the dashboard while offline, Submitted a service request while offline (Tenant), Logged out, then logged back in while offline using previously cached credentials, Received a sync confirmation banner when the network was restored</t>
        </is>
      </c>
      <c r="M13" s="6" t="n">
        <v>4</v>
      </c>
      <c r="N13" s="6" t="n">
        <v>1</v>
      </c>
      <c r="O13" s="6" t="n">
        <v>5</v>
      </c>
      <c r="P13" s="6" t="n">
        <v>2</v>
      </c>
      <c r="Q13" s="6" t="n">
        <v>5</v>
      </c>
      <c r="R13" s="6" t="n">
        <v>2</v>
      </c>
      <c r="S13" s="6" t="n">
        <v>4</v>
      </c>
      <c r="T13" s="6" t="n">
        <v>1</v>
      </c>
      <c r="U13" s="6" t="n">
        <v>4</v>
      </c>
      <c r="V13" s="6" t="n">
        <v>2</v>
      </c>
      <c r="W13" s="6" t="n">
        <v>4</v>
      </c>
      <c r="X13" s="6" t="inlineStr">
        <is>
          <t>Yes, it was always clear</t>
        </is>
      </c>
      <c r="Y13" s="6" t="inlineStr">
        <is>
          <t>The offline access</t>
        </is>
      </c>
      <c r="Z13" s="6" t="inlineStr">
        <is>
          <t>It was not confusing</t>
        </is>
      </c>
      <c r="AA13" s="6" t="inlineStr">
        <is>
          <t>May be if it is in the production stage will be more valuable</t>
        </is>
      </c>
      <c r="AB13" s="6" t="inlineStr">
        <is>
          <t>It's enough for a prototype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46"/>
  <sheetViews>
    <sheetView showGridLines="0" workbookViewId="0">
      <selection activeCell="A1" sqref="A1:D1"/>
    </sheetView>
  </sheetViews>
  <sheetFormatPr baseColWidth="8" defaultColWidth="14.453125" defaultRowHeight="15" customHeight="1"/>
  <cols>
    <col width="4" customWidth="1" style="54" min="1" max="1"/>
    <col width="28" customWidth="1" style="54" min="2" max="2"/>
    <col width="70" customWidth="1" style="54" min="3" max="3"/>
    <col width="20" customWidth="1" style="54" min="4" max="4"/>
    <col width="8.7265625" customWidth="1" style="54" min="5" max="26"/>
  </cols>
  <sheetData>
    <row r="1" ht="36" customHeight="1" s="54">
      <c r="A1" s="72" t="inlineStr">
        <is>
          <t>IPDC-OSS Platform — System Usability Scale (SUS) Evaluation Workbook</t>
        </is>
      </c>
    </row>
    <row r="2" ht="24" customHeight="1" s="54">
      <c r="A2" s="73" t="inlineStr">
        <is>
          <t>Usability Evaluation — 10 February 2026 | 9 Participants | Chapter 5</t>
        </is>
      </c>
    </row>
    <row r="4" ht="14.5" customHeight="1" s="54">
      <c r="A4" s="74" t="inlineStr">
        <is>
          <t>PURPOSE</t>
        </is>
      </c>
    </row>
    <row r="5" ht="48" customHeight="1" s="54">
      <c r="A5" s="75" t="inlineStr">
        <is>
          <t>This workbook is the official data collection and calculation instrument for the SUS usability evaluation of the IPDC Digital One-Stop-Service (OSS) platform prototype. It accompanies the thesis: 'Design and Development of a Digital One-Stop-Service Platform for Industrial Parks in Ethiopia'.</t>
        </is>
      </c>
    </row>
    <row r="7" ht="14.5" customHeight="1" s="54">
      <c r="A7" s="74" t="inlineStr">
        <is>
          <t>WORKBOOK STRUCTURE</t>
        </is>
      </c>
    </row>
    <row r="8" ht="18" customHeight="1" s="54">
      <c r="B8" s="7" t="inlineStr">
        <is>
          <t>Instructions</t>
        </is>
      </c>
      <c r="C8" s="76" t="inlineStr">
        <is>
          <t>This sheet — purpose, SUS formula, scoring guide, role-differentiated task scenarios</t>
        </is>
      </c>
      <c r="D8" s="77" t="n"/>
    </row>
    <row r="9" ht="18" customHeight="1" s="54">
      <c r="B9" s="7" t="inlineStr">
        <is>
          <t>Participant Profiles</t>
        </is>
      </c>
      <c r="C9" s="76" t="inlineStr">
        <is>
          <t>P1–P9 roles, parks, devices, and tenant company profile (investment type, sector)</t>
        </is>
      </c>
      <c r="D9" s="77" t="n"/>
    </row>
    <row r="10" ht="18" customHeight="1" s="54">
      <c r="B10" s="7" t="inlineStr">
        <is>
          <t>SUS Raw Responses</t>
        </is>
      </c>
      <c r="C10" s="76" t="inlineStr">
        <is>
          <t>Raw 1–5 ratings for all 10 SUS items from each participant — FILL THIS IN</t>
        </is>
      </c>
      <c r="D10" s="77" t="n"/>
    </row>
    <row r="11" ht="18" customHeight="1" s="54">
      <c r="B11" s="7" t="inlineStr">
        <is>
          <t>SUS Score Calculation</t>
        </is>
      </c>
      <c r="C11" s="76" t="inlineStr">
        <is>
          <t>Auto-calculated converted scores and final SUS score per participant</t>
        </is>
      </c>
      <c r="D11" s="77" t="n"/>
    </row>
    <row r="12" ht="18" customHeight="1" s="54">
      <c r="B12" s="7" t="inlineStr">
        <is>
          <t>Summary &amp; Results</t>
        </is>
      </c>
      <c r="C12" s="76" t="inlineStr">
        <is>
          <t>Final scores, mean, interpretation, grade, and bar chart</t>
        </is>
      </c>
      <c r="D12" s="77" t="n"/>
    </row>
    <row r="13" ht="18" customHeight="1" s="54">
      <c r="B13" s="7" t="inlineStr">
        <is>
          <t>Offline Experience</t>
        </is>
      </c>
      <c r="C13" s="76" t="inlineStr">
        <is>
          <t>Supplementary Q8b/Q19/Q20 responses — offline tasks attempted, confidence score, clarity</t>
        </is>
      </c>
      <c r="D13" s="77" t="n"/>
    </row>
    <row r="15" ht="14.5" customHeight="1" s="54">
      <c r="A15" s="74" t="inlineStr">
        <is>
          <t>SUS SCORING FORMULA</t>
        </is>
      </c>
    </row>
    <row r="16" ht="18" customHeight="1" s="54">
      <c r="B16" s="8" t="inlineStr">
        <is>
          <t>Odd items — Positive (Q1,Q3,Q5,Q7,Q9):</t>
        </is>
      </c>
      <c r="C16" s="78" t="inlineStr">
        <is>
          <t>Converted score  =  Raw response  −  1</t>
        </is>
      </c>
      <c r="D16" s="77" t="n"/>
    </row>
    <row r="17" ht="18" customHeight="1" s="54">
      <c r="B17" s="8" t="inlineStr">
        <is>
          <t>Even items — Negative (Q2,Q4,Q6,Q8,Q10):</t>
        </is>
      </c>
      <c r="C17" s="78" t="inlineStr">
        <is>
          <t>Converted score  =  5  −  Raw response</t>
        </is>
      </c>
      <c r="D17" s="77" t="n"/>
    </row>
    <row r="18" ht="18" customHeight="1" s="54">
      <c r="B18" s="8" t="inlineStr">
        <is>
          <t>SUS Score:</t>
        </is>
      </c>
      <c r="C18" s="78" t="inlineStr">
        <is>
          <t>Sum of all 10 converted scores  ×  2.5</t>
        </is>
      </c>
      <c r="D18" s="77" t="n"/>
    </row>
    <row r="19" ht="18" customHeight="1" s="54">
      <c r="B19" s="8" t="inlineStr">
        <is>
          <t>Scale:</t>
        </is>
      </c>
      <c r="C19" s="78" t="inlineStr">
        <is>
          <t>0 (worst)  →  100 (best)</t>
        </is>
      </c>
      <c r="D19" s="77" t="n"/>
    </row>
    <row r="21" ht="15.75" customHeight="1" s="54">
      <c r="A21" s="74" t="inlineStr">
        <is>
          <t>SUS SCORE INTERPRETATION (Bangor et al. / Sauro)</t>
        </is>
      </c>
    </row>
    <row r="22" ht="15.75" customHeight="1" s="54">
      <c r="B22" s="9" t="inlineStr">
        <is>
          <t>&gt; 85.5</t>
        </is>
      </c>
      <c r="C22" s="10" t="inlineStr">
        <is>
          <t>A</t>
        </is>
      </c>
      <c r="D22" s="9" t="inlineStr">
        <is>
          <t>Excellent</t>
        </is>
      </c>
    </row>
    <row r="23" ht="15.75" customHeight="1" s="54">
      <c r="B23" s="11" t="inlineStr">
        <is>
          <t>72.6 – 85.5</t>
        </is>
      </c>
      <c r="C23" s="12" t="inlineStr">
        <is>
          <t>B</t>
        </is>
      </c>
      <c r="D23" s="11" t="inlineStr">
        <is>
          <t>Good</t>
        </is>
      </c>
    </row>
    <row r="24" ht="15.75" customHeight="1" s="54">
      <c r="B24" s="13" t="inlineStr">
        <is>
          <t>52.0 – 72.5</t>
        </is>
      </c>
      <c r="C24" s="14" t="inlineStr">
        <is>
          <t>C</t>
        </is>
      </c>
      <c r="D24" s="13" t="inlineStr">
        <is>
          <t>OK</t>
        </is>
      </c>
    </row>
    <row r="25" ht="15.75" customHeight="1" s="54">
      <c r="B25" s="15" t="inlineStr">
        <is>
          <t>51.7 – 51.9</t>
        </is>
      </c>
      <c r="C25" s="16" t="inlineStr">
        <is>
          <t>D</t>
        </is>
      </c>
      <c r="D25" s="15" t="inlineStr">
        <is>
          <t>Poor</t>
        </is>
      </c>
    </row>
    <row r="26" ht="15.75" customHeight="1" s="54">
      <c r="B26" s="17" t="inlineStr">
        <is>
          <t>&lt; 51.6</t>
        </is>
      </c>
      <c r="C26" s="18" t="inlineStr">
        <is>
          <t>F</t>
        </is>
      </c>
      <c r="D26" s="17" t="inlineStr">
        <is>
          <t>Awful</t>
        </is>
      </c>
    </row>
    <row r="27" ht="15.75" customHeight="1" s="54"/>
    <row r="28" ht="15.75" customHeight="1" s="54">
      <c r="A28" s="74" t="inlineStr">
        <is>
          <t>TASK SCENARIOS ADMINISTERED TO PARTICIPANTS</t>
        </is>
      </c>
    </row>
    <row r="29" ht="30" customHeight="1" s="54">
      <c r="B29" s="19" t="inlineStr">
        <is>
          <t>Task M1</t>
        </is>
      </c>
      <c r="C29" s="20" t="inlineStr">
        <is>
          <t>[Management] Review and process a service request</t>
        </is>
      </c>
      <c r="D29" s="21" t="inlineStr">
        <is>
          <t>Log in as Admin, open a pending service request, review the details, and approve or reject it with a stated reason.</t>
        </is>
      </c>
    </row>
    <row r="30" ht="30" customHeight="1" s="54">
      <c r="B30" s="19" t="inlineStr">
        <is>
          <t>Task M2</t>
        </is>
      </c>
      <c r="C30" s="20" t="inlineStr">
        <is>
          <t>[Management] Resolve a tenant complaint</t>
        </is>
      </c>
      <c r="D30" s="21" t="inlineStr">
        <is>
          <t>Navigate to Complaint Management, open a pending complaint, select a resolution action, add resolution notes, and confirm.</t>
        </is>
      </c>
    </row>
    <row r="31" ht="30" customHeight="1" s="54">
      <c r="B31" s="19" t="inlineStr">
        <is>
          <t>Task M3</t>
        </is>
      </c>
      <c r="C31" s="20" t="inlineStr">
        <is>
          <t>[Management] Publish a park-wide announcement</t>
        </is>
      </c>
      <c r="D31" s="21" t="inlineStr">
        <is>
          <t>Create a new announcement with a title, body text, and priority level, then publish it to all park users.</t>
        </is>
      </c>
    </row>
    <row r="32" ht="30" customHeight="1" s="54">
      <c r="B32" s="19" t="inlineStr">
        <is>
          <t>Task M4</t>
        </is>
      </c>
      <c r="C32" s="20" t="inlineStr">
        <is>
          <t>[Management] View request analytics dashboard</t>
        </is>
      </c>
      <c r="D32" s="21" t="inlineStr">
        <is>
          <t>Navigate to the admin dashboard and review the summary statistics, request counts by status, and charts.</t>
        </is>
      </c>
    </row>
    <row r="33" ht="30" customHeight="1" s="54">
      <c r="B33" s="19" t="inlineStr">
        <is>
          <t>Task T1</t>
        </is>
      </c>
      <c r="C33" s="20" t="inlineStr">
        <is>
          <t>[Tenant] Submit a new service request</t>
        </is>
      </c>
      <c r="D33" s="21" t="inlineStr">
        <is>
          <t>Log in as Tenant, select a service category, fill in the request details and priority, attach a document if available, and submit.</t>
        </is>
      </c>
    </row>
    <row r="34" ht="30" customHeight="1" s="54">
      <c r="B34" s="19" t="inlineStr">
        <is>
          <t>Task T2</t>
        </is>
      </c>
      <c r="C34" s="20" t="inlineStr">
        <is>
          <t>[Tenant] Check token balance and transaction history</t>
        </is>
      </c>
      <c r="D34" s="21" t="inlineStr">
        <is>
          <t>Locate the token section on the dashboard and review the current balance and the list of past transactions.</t>
        </is>
      </c>
    </row>
    <row r="35" ht="30" customHeight="1" s="54">
      <c r="B35" s="19" t="inlineStr">
        <is>
          <t>Task T3</t>
        </is>
      </c>
      <c r="C35" s="20" t="inlineStr">
        <is>
          <t>[Tenant] File a complaint on a completed service</t>
        </is>
      </c>
      <c r="D35" s="21" t="inlineStr">
        <is>
          <t>Navigate to My Complaints, select a completed request, choose a complaint category and severity, describe the issue, and submit.</t>
        </is>
      </c>
    </row>
    <row r="36" ht="30" customHeight="1" s="54">
      <c r="B36" s="19" t="inlineStr">
        <is>
          <t>Task T4</t>
        </is>
      </c>
      <c r="C36" s="20" t="inlineStr">
        <is>
          <t>[Tenant] Read an in-app bell notification</t>
        </is>
      </c>
      <c r="D36" s="21" t="inlineStr">
        <is>
          <t>Click the notification bell icon, open an unread notification, and confirm the message content.</t>
        </is>
      </c>
    </row>
    <row r="37" ht="30" customHeight="1" s="54">
      <c r="B37" s="19" t="inlineStr">
        <is>
          <t>Task O1</t>
        </is>
      </c>
      <c r="C37" s="20" t="inlineStr">
        <is>
          <t>[Operations] Accept a task from the approved queue</t>
        </is>
      </c>
      <c r="D37" s="21" t="inlineStr">
        <is>
          <t>Log in as Operations Staff, open the Approved Requests tab, select a request, and mark it as In Progress.</t>
        </is>
      </c>
    </row>
    <row r="38" ht="30" customHeight="1" s="54">
      <c r="B38" s="19" t="inlineStr">
        <is>
          <t>Task O2</t>
        </is>
      </c>
      <c r="C38" s="20" t="inlineStr">
        <is>
          <t>[Operations] Complete a task and confirm token deduction</t>
        </is>
      </c>
      <c r="D38" s="21" t="inlineStr">
        <is>
          <t>Mark an in-progress task as completed, confirm the token amount to deduct from the tenant, and submit.</t>
        </is>
      </c>
    </row>
    <row r="39" ht="30" customHeight="1" s="54">
      <c r="B39" s="19" t="inlineStr">
        <is>
          <t>Task O3</t>
        </is>
      </c>
      <c r="C39" s="20" t="inlineStr">
        <is>
          <t>[Operations] Review completed task history</t>
        </is>
      </c>
      <c r="D39" s="21" t="inlineStr">
        <is>
          <t>Navigate to the Completed tab and review the list of previously fulfilled tasks.</t>
        </is>
      </c>
    </row>
    <row r="40" ht="30" customHeight="1" s="54">
      <c r="B40" s="19" t="inlineStr">
        <is>
          <t>Task O4</t>
        </is>
      </c>
      <c r="C40" s="20" t="inlineStr">
        <is>
          <t>[Operations] Read a park announcement</t>
        </is>
      </c>
      <c r="D40" s="21" t="inlineStr">
        <is>
          <t>Open the Announcements tab in the Operations dashboard and read the latest park-wide notice.</t>
        </is>
      </c>
    </row>
    <row r="41" ht="30" customHeight="1" s="54">
      <c r="B41" s="19" t="inlineStr">
        <is>
          <t>Task X1</t>
        </is>
      </c>
      <c r="C41" s="20" t="inlineStr">
        <is>
          <t>[All Roles] Browse dashboard while offline</t>
        </is>
      </c>
      <c r="D41" s="21" t="inlineStr">
        <is>
          <t>Facilitator enables airplane mode. Participant navigates the dashboard and confirms data is still visible.</t>
        </is>
      </c>
    </row>
    <row r="42" ht="30" customHeight="1" s="54">
      <c r="B42" s="19" t="inlineStr">
        <is>
          <t>Task X2</t>
        </is>
      </c>
      <c r="C42" s="20" t="inlineStr">
        <is>
          <t>[All Roles] Submit a request or action while offline</t>
        </is>
      </c>
      <c r="D42" s="21" t="inlineStr">
        <is>
          <t>While offline, perform a key action (submit request / complete task). Confirm the item queues locally.</t>
        </is>
      </c>
    </row>
    <row r="43" ht="30" customHeight="1" s="54">
      <c r="B43" s="19" t="inlineStr">
        <is>
          <t>Task X3</t>
        </is>
      </c>
      <c r="C43" s="20" t="inlineStr">
        <is>
          <t>[All Roles] Offline re-login with cached credentials</t>
        </is>
      </c>
      <c r="D43" s="21" t="inlineStr">
        <is>
          <t>While offline, log out then log back in using the same credentials. Confirm the system authenticates from cache.</t>
        </is>
      </c>
    </row>
    <row r="44" ht="30" customHeight="1" s="54">
      <c r="B44" s="19" t="inlineStr">
        <is>
          <t>Task X4</t>
        </is>
      </c>
      <c r="C44" s="20" t="inlineStr">
        <is>
          <t>[All Roles] Sync confirmation on reconnection</t>
        </is>
      </c>
      <c r="D44" s="21" t="inlineStr">
        <is>
          <t>Facilitator restores network. Participant confirms the sync banner appears and queued items are uploaded.</t>
        </is>
      </c>
    </row>
    <row r="45" ht="15.75" customHeight="1" s="54"/>
    <row r="46" ht="36" customHeight="1" s="54">
      <c r="A46" s="79" t="inlineStr">
        <is>
          <t>⚠  IMPORTANT: Enter REAL participant responses in the 'SUS Raw Responses' sheet. All SUS scores in the thesis must reflect actual collected data. Scores in 'SUS Score Calculation' and 'Summary &amp; Results' update automatically.</t>
        </is>
      </c>
      <c r="B46" s="80" t="n"/>
      <c r="C46" s="80" t="n"/>
      <c r="D46" s="77" t="n"/>
    </row>
    <row r="47" ht="15.75" customHeight="1" s="54"/>
    <row r="48" ht="15.75" customHeight="1" s="54"/>
    <row r="49" ht="15.75" customHeight="1" s="54"/>
    <row r="50" ht="15.75" customHeight="1" s="54"/>
    <row r="51" ht="15.75" customHeight="1" s="54"/>
    <row r="52" ht="15.75" customHeight="1" s="54"/>
    <row r="53" ht="15.75" customHeight="1" s="54"/>
    <row r="54" ht="15.75" customHeight="1" s="54"/>
    <row r="55" ht="15.75" customHeight="1" s="54"/>
    <row r="56" ht="15.75" customHeight="1" s="54"/>
    <row r="57" ht="15.75" customHeight="1" s="54"/>
    <row r="58" ht="15.75" customHeight="1" s="54"/>
    <row r="59" ht="15.75" customHeight="1" s="54"/>
    <row r="60" ht="15.75" customHeight="1" s="54"/>
    <row r="61" ht="15.75" customHeight="1" s="54"/>
    <row r="62" ht="15.75" customHeight="1" s="54"/>
    <row r="63" ht="15.75" customHeight="1" s="54"/>
    <row r="64" ht="15.75" customHeight="1" s="54"/>
    <row r="65" ht="15.75" customHeight="1" s="54"/>
    <row r="66" ht="15.75" customHeight="1" s="54"/>
    <row r="67" ht="15.75" customHeight="1" s="54"/>
    <row r="68" ht="15.75" customHeight="1" s="54"/>
    <row r="69" ht="15.75" customHeight="1" s="54"/>
    <row r="70" ht="15.75" customHeight="1" s="54"/>
    <row r="71" ht="15.75" customHeight="1" s="54"/>
    <row r="72" ht="15.75" customHeight="1" s="54"/>
    <row r="73" ht="15.75" customHeight="1" s="54"/>
    <row r="74" ht="15.75" customHeight="1" s="54"/>
    <row r="75" ht="15.75" customHeight="1" s="54"/>
    <row r="76" ht="15.75" customHeight="1" s="54"/>
    <row r="77" ht="15.75" customHeight="1" s="54"/>
    <row r="78" ht="15.75" customHeight="1" s="54"/>
    <row r="79" ht="15.75" customHeight="1" s="54"/>
    <row r="80" ht="15.75" customHeight="1" s="54"/>
    <row r="81" ht="15.75" customHeight="1" s="54"/>
    <row r="82" ht="15.75" customHeight="1" s="54"/>
    <row r="83" ht="15.75" customHeight="1" s="54"/>
    <row r="84" ht="15.75" customHeight="1" s="54"/>
    <row r="85" ht="15.75" customHeight="1" s="54"/>
    <row r="86" ht="15.75" customHeight="1" s="54"/>
    <row r="87" ht="15.75" customHeight="1" s="54"/>
    <row r="88" ht="15.75" customHeight="1" s="54"/>
    <row r="89" ht="15.75" customHeight="1" s="54"/>
    <row r="90" ht="15.75" customHeight="1" s="54"/>
    <row r="91" ht="15.75" customHeight="1" s="54"/>
    <row r="92" ht="15.75" customHeight="1" s="54"/>
    <row r="93" ht="15.75" customHeight="1" s="54"/>
    <row r="94" ht="15.75" customHeight="1" s="54"/>
    <row r="95" ht="15.75" customHeight="1" s="54"/>
    <row r="96" ht="15.75" customHeight="1" s="54"/>
    <row r="97" ht="15.75" customHeight="1" s="54"/>
    <row r="98" ht="15.75" customHeight="1" s="54"/>
    <row r="99" ht="15.75" customHeight="1" s="54"/>
    <row r="100" ht="15.75" customHeight="1" s="54"/>
    <row r="101" ht="15.75" customHeight="1" s="54"/>
    <row r="102" ht="15.75" customHeight="1" s="54"/>
    <row r="103" ht="15.75" customHeight="1" s="54"/>
    <row r="104" ht="15.75" customHeight="1" s="54"/>
    <row r="105" ht="15.75" customHeight="1" s="54"/>
    <row r="106" ht="15.75" customHeight="1" s="54"/>
    <row r="107" ht="15.75" customHeight="1" s="54"/>
    <row r="108" ht="15.75" customHeight="1" s="54"/>
    <row r="109" ht="15.75" customHeight="1" s="54"/>
    <row r="110" ht="15.75" customHeight="1" s="54"/>
    <row r="111" ht="15.75" customHeight="1" s="54"/>
    <row r="112" ht="15.75" customHeight="1" s="54"/>
    <row r="113" ht="15.75" customHeight="1" s="54"/>
    <row r="114" ht="15.75" customHeight="1" s="54"/>
    <row r="115" ht="15.75" customHeight="1" s="54"/>
    <row r="116" ht="15.75" customHeight="1" s="54"/>
    <row r="117" ht="15.75" customHeight="1" s="54"/>
    <row r="118" ht="15.75" customHeight="1" s="54"/>
    <row r="119" ht="15.75" customHeight="1" s="54"/>
    <row r="120" ht="15.75" customHeight="1" s="54"/>
    <row r="121" ht="15.75" customHeight="1" s="54"/>
    <row r="122" ht="15.75" customHeight="1" s="54"/>
    <row r="123" ht="15.75" customHeight="1" s="54"/>
    <row r="124" ht="15.75" customHeight="1" s="54"/>
    <row r="125" ht="15.75" customHeight="1" s="54"/>
    <row r="126" ht="15.75" customHeight="1" s="54"/>
    <row r="127" ht="15.75" customHeight="1" s="54"/>
    <row r="128" ht="15.75" customHeight="1" s="54"/>
    <row r="129" ht="15.75" customHeight="1" s="54"/>
    <row r="130" ht="15.75" customHeight="1" s="54"/>
    <row r="131" ht="15.75" customHeight="1" s="54"/>
    <row r="132" ht="15.75" customHeight="1" s="54"/>
    <row r="133" ht="15.75" customHeight="1" s="54"/>
    <row r="134" ht="15.75" customHeight="1" s="54"/>
    <row r="135" ht="15.75" customHeight="1" s="54"/>
    <row r="136" ht="15.75" customHeight="1" s="54"/>
    <row r="137" ht="15.75" customHeight="1" s="54"/>
    <row r="138" ht="15.75" customHeight="1" s="54"/>
    <row r="139" ht="15.75" customHeight="1" s="54"/>
    <row r="140" ht="15.75" customHeight="1" s="54"/>
    <row r="141" ht="15.75" customHeight="1" s="54"/>
    <row r="142" ht="15.75" customHeight="1" s="54"/>
    <row r="143" ht="15.75" customHeight="1" s="54"/>
    <row r="144" ht="15.75" customHeight="1" s="54"/>
    <row r="145" ht="15.75" customHeight="1" s="54"/>
    <row r="146" ht="15.75" customHeight="1" s="54"/>
    <row r="147" ht="15.75" customHeight="1" s="54"/>
    <row r="148" ht="15.75" customHeight="1" s="54"/>
    <row r="149" ht="15.75" customHeight="1" s="54"/>
    <row r="150" ht="15.75" customHeight="1" s="54"/>
    <row r="151" ht="15.75" customHeight="1" s="54"/>
    <row r="152" ht="15.75" customHeight="1" s="54"/>
    <row r="153" ht="15.75" customHeight="1" s="54"/>
    <row r="154" ht="15.75" customHeight="1" s="54"/>
    <row r="155" ht="15.75" customHeight="1" s="54"/>
    <row r="156" ht="15.75" customHeight="1" s="54"/>
    <row r="157" ht="15.75" customHeight="1" s="54"/>
    <row r="158" ht="15.75" customHeight="1" s="54"/>
    <row r="159" ht="15.75" customHeight="1" s="54"/>
    <row r="160" ht="15.75" customHeight="1" s="54"/>
    <row r="161" ht="15.75" customHeight="1" s="54"/>
    <row r="162" ht="15.75" customHeight="1" s="54"/>
    <row r="163" ht="15.75" customHeight="1" s="54"/>
    <row r="164" ht="15.75" customHeight="1" s="54"/>
    <row r="165" ht="15.75" customHeight="1" s="54"/>
    <row r="166" ht="15.75" customHeight="1" s="54"/>
    <row r="167" ht="15.75" customHeight="1" s="54"/>
    <row r="168" ht="15.75" customHeight="1" s="54"/>
    <row r="169" ht="15.75" customHeight="1" s="54"/>
    <row r="170" ht="15.75" customHeight="1" s="54"/>
    <row r="171" ht="15.75" customHeight="1" s="54"/>
    <row r="172" ht="15.75" customHeight="1" s="54"/>
    <row r="173" ht="15.75" customHeight="1" s="54"/>
    <row r="174" ht="15.75" customHeight="1" s="54"/>
    <row r="175" ht="15.75" customHeight="1" s="54"/>
    <row r="176" ht="15.75" customHeight="1" s="54"/>
    <row r="177" ht="15.75" customHeight="1" s="54"/>
    <row r="178" ht="15.75" customHeight="1" s="54"/>
    <row r="179" ht="15.75" customHeight="1" s="54"/>
    <row r="180" ht="15.75" customHeight="1" s="54"/>
    <row r="181" ht="15.75" customHeight="1" s="54"/>
    <row r="182" ht="15.75" customHeight="1" s="54"/>
    <row r="183" ht="15.75" customHeight="1" s="54"/>
    <row r="184" ht="15.75" customHeight="1" s="54"/>
    <row r="185" ht="15.75" customHeight="1" s="54"/>
    <row r="186" ht="15.75" customHeight="1" s="54"/>
    <row r="187" ht="15.75" customHeight="1" s="54"/>
    <row r="188" ht="15.75" customHeight="1" s="54"/>
    <row r="189" ht="15.75" customHeight="1" s="54"/>
    <row r="190" ht="15.75" customHeight="1" s="54"/>
    <row r="191" ht="15.75" customHeight="1" s="54"/>
    <row r="192" ht="15.75" customHeight="1" s="54"/>
    <row r="193" ht="15.75" customHeight="1" s="54"/>
    <row r="194" ht="15.75" customHeight="1" s="54"/>
    <row r="195" ht="15.75" customHeight="1" s="54"/>
    <row r="196" ht="15.75" customHeight="1" s="54"/>
    <row r="197" ht="15.75" customHeight="1" s="54"/>
    <row r="198" ht="15.75" customHeight="1" s="54"/>
    <row r="199" ht="15.75" customHeight="1" s="54"/>
    <row r="200" ht="15.75" customHeight="1" s="54"/>
    <row r="201" ht="15.75" customHeight="1" s="54"/>
    <row r="202" ht="15.75" customHeight="1" s="54"/>
    <row r="203" ht="15.75" customHeight="1" s="54"/>
    <row r="204" ht="15.75" customHeight="1" s="54"/>
    <row r="205" ht="15.75" customHeight="1" s="54"/>
    <row r="206" ht="15.75" customHeight="1" s="54"/>
    <row r="207" ht="15.75" customHeight="1" s="54"/>
    <row r="208" ht="15.75" customHeight="1" s="54"/>
    <row r="209" ht="15.75" customHeight="1" s="54"/>
    <row r="210" ht="15.75" customHeight="1" s="54"/>
    <row r="211" ht="15.75" customHeight="1" s="54"/>
    <row r="212" ht="15.75" customHeight="1" s="54"/>
    <row r="213" ht="15.75" customHeight="1" s="54"/>
    <row r="214" ht="15.75" customHeight="1" s="54"/>
    <row r="215" ht="15.75" customHeight="1" s="54"/>
    <row r="216" ht="15.75" customHeight="1" s="54"/>
    <row r="217" ht="15.75" customHeight="1" s="54"/>
    <row r="218" ht="15.75" customHeight="1" s="54"/>
    <row r="219" ht="15.75" customHeight="1" s="54"/>
    <row r="220" ht="15.75" customHeight="1" s="54"/>
    <row r="221" ht="15.75" customHeight="1" s="54"/>
    <row r="222" ht="15.75" customHeight="1" s="54"/>
    <row r="223" ht="15.75" customHeight="1" s="54"/>
    <row r="224" ht="15.75" customHeight="1" s="54"/>
    <row r="225" ht="15.75" customHeight="1" s="54"/>
    <row r="226" ht="15.75" customHeight="1" s="54"/>
    <row r="227" ht="15.75" customHeight="1" s="54"/>
    <row r="228" ht="15.75" customHeight="1" s="54"/>
    <row r="229" ht="15.75" customHeight="1" s="54"/>
    <row r="230" ht="15.75" customHeight="1" s="54"/>
    <row r="231" ht="15.75" customHeight="1" s="54"/>
    <row r="232" ht="15.75" customHeight="1" s="54"/>
    <row r="233" ht="15.75" customHeight="1" s="54"/>
    <row r="234" ht="15.75" customHeight="1" s="54"/>
    <row r="235" ht="15.75" customHeight="1" s="54"/>
    <row r="236" ht="15.75" customHeight="1" s="54"/>
    <row r="237" ht="15.75" customHeight="1" s="54"/>
    <row r="238" ht="15.75" customHeight="1" s="54"/>
    <row r="239" ht="15.75" customHeight="1" s="54"/>
    <row r="240" ht="15.75" customHeight="1" s="54"/>
    <row r="241" ht="15.75" customHeight="1" s="54"/>
    <row r="242" ht="15.75" customHeight="1" s="54"/>
    <row r="243" ht="15.75" customHeight="1" s="54"/>
    <row r="244" ht="15.75" customHeight="1" s="54"/>
    <row r="245" ht="15.75" customHeight="1" s="54"/>
    <row r="246" ht="15.75" customHeight="1" s="54"/>
    <row r="247" ht="15.75" customHeight="1" s="54"/>
    <row r="248" ht="15.75" customHeight="1" s="54"/>
    <row r="249" ht="15.75" customHeight="1" s="54"/>
    <row r="250" ht="15.75" customHeight="1" s="54"/>
    <row r="251" ht="15.75" customHeight="1" s="54"/>
    <row r="252" ht="15.75" customHeight="1" s="54"/>
    <row r="253" ht="15.75" customHeight="1" s="54"/>
    <row r="254" ht="15.75" customHeight="1" s="54"/>
    <row r="255" ht="15.75" customHeight="1" s="54"/>
    <row r="256" ht="15.75" customHeight="1" s="54"/>
    <row r="257" ht="15.75" customHeight="1" s="54"/>
    <row r="258" ht="15.75" customHeight="1" s="54"/>
    <row r="259" ht="15.75" customHeight="1" s="54"/>
    <row r="260" ht="15.75" customHeight="1" s="54"/>
    <row r="261" ht="15.75" customHeight="1" s="54"/>
    <row r="262" ht="15.75" customHeight="1" s="54"/>
    <row r="263" ht="15.75" customHeight="1" s="54"/>
    <row r="264" ht="15.75" customHeight="1" s="54"/>
    <row r="265" ht="15.75" customHeight="1" s="54"/>
    <row r="266" ht="15.75" customHeight="1" s="54"/>
    <row r="267" ht="15.75" customHeight="1" s="54"/>
    <row r="268" ht="15.75" customHeight="1" s="54"/>
    <row r="269" ht="15.75" customHeight="1" s="54"/>
    <row r="270" ht="15.75" customHeight="1" s="54"/>
    <row r="271" ht="15.75" customHeight="1" s="54"/>
    <row r="272" ht="15.75" customHeight="1" s="54"/>
    <row r="273" ht="15.75" customHeight="1" s="54"/>
    <row r="274" ht="15.75" customHeight="1" s="54"/>
    <row r="275" ht="15.75" customHeight="1" s="54"/>
    <row r="276" ht="15.75" customHeight="1" s="54"/>
    <row r="277" ht="15.75" customHeight="1" s="54"/>
    <row r="278" ht="15.75" customHeight="1" s="54"/>
    <row r="279" ht="15.75" customHeight="1" s="54"/>
    <row r="280" ht="15.75" customHeight="1" s="54"/>
    <row r="281" ht="15.75" customHeight="1" s="54"/>
    <row r="282" ht="15.75" customHeight="1" s="54"/>
    <row r="283" ht="15.75" customHeight="1" s="54"/>
    <row r="284" ht="15.75" customHeight="1" s="54"/>
    <row r="285" ht="15.75" customHeight="1" s="54"/>
    <row r="286" ht="15.75" customHeight="1" s="54"/>
    <row r="287" ht="15.75" customHeight="1" s="54"/>
    <row r="288" ht="15.75" customHeight="1" s="54"/>
    <row r="289" ht="15.75" customHeight="1" s="54"/>
    <row r="290" ht="15.75" customHeight="1" s="54"/>
    <row r="291" ht="15.75" customHeight="1" s="54"/>
    <row r="292" ht="15.75" customHeight="1" s="54"/>
    <row r="293" ht="15.75" customHeight="1" s="54"/>
    <row r="294" ht="15.75" customHeight="1" s="54"/>
    <row r="295" ht="15.75" customHeight="1" s="54"/>
    <row r="296" ht="15.75" customHeight="1" s="54"/>
    <row r="297" ht="15.75" customHeight="1" s="54"/>
    <row r="298" ht="15.75" customHeight="1" s="54"/>
    <row r="299" ht="15.75" customHeight="1" s="54"/>
    <row r="300" ht="15.75" customHeight="1" s="54"/>
    <row r="301" ht="15.75" customHeight="1" s="54"/>
    <row r="302" ht="15.75" customHeight="1" s="54"/>
    <row r="303" ht="15.75" customHeight="1" s="54"/>
    <row r="304" ht="15.75" customHeight="1" s="54"/>
    <row r="305" ht="15.75" customHeight="1" s="54"/>
    <row r="306" ht="15.75" customHeight="1" s="54"/>
    <row r="307" ht="15.75" customHeight="1" s="54"/>
    <row r="308" ht="15.75" customHeight="1" s="54"/>
    <row r="309" ht="15.75" customHeight="1" s="54"/>
    <row r="310" ht="15.75" customHeight="1" s="54"/>
    <row r="311" ht="15.75" customHeight="1" s="54"/>
    <row r="312" ht="15.75" customHeight="1" s="54"/>
    <row r="313" ht="15.75" customHeight="1" s="54"/>
    <row r="314" ht="15.75" customHeight="1" s="54"/>
    <row r="315" ht="15.75" customHeight="1" s="54"/>
    <row r="316" ht="15.75" customHeight="1" s="54"/>
    <row r="317" ht="15.75" customHeight="1" s="54"/>
    <row r="318" ht="15.75" customHeight="1" s="54"/>
    <row r="319" ht="15.75" customHeight="1" s="54"/>
    <row r="320" ht="15.75" customHeight="1" s="54"/>
    <row r="321" ht="15.75" customHeight="1" s="54"/>
    <row r="322" ht="15.75" customHeight="1" s="54"/>
    <row r="323" ht="15.75" customHeight="1" s="54"/>
    <row r="324" ht="15.75" customHeight="1" s="54"/>
    <row r="325" ht="15.75" customHeight="1" s="54"/>
    <row r="326" ht="15.75" customHeight="1" s="54"/>
    <row r="327" ht="15.75" customHeight="1" s="54"/>
    <row r="328" ht="15.75" customHeight="1" s="54"/>
    <row r="329" ht="15.75" customHeight="1" s="54"/>
    <row r="330" ht="15.75" customHeight="1" s="54"/>
    <row r="331" ht="15.75" customHeight="1" s="54"/>
    <row r="332" ht="15.75" customHeight="1" s="54"/>
    <row r="333" ht="15.75" customHeight="1" s="54"/>
    <row r="334" ht="15.75" customHeight="1" s="54"/>
    <row r="335" ht="15.75" customHeight="1" s="54"/>
    <row r="336" ht="15.75" customHeight="1" s="54"/>
    <row r="337" ht="15.75" customHeight="1" s="54"/>
    <row r="338" ht="15.75" customHeight="1" s="54"/>
    <row r="339" ht="15.75" customHeight="1" s="54"/>
    <row r="340" ht="15.75" customHeight="1" s="54"/>
    <row r="341" ht="15.75" customHeight="1" s="54"/>
    <row r="342" ht="15.75" customHeight="1" s="54"/>
    <row r="343" ht="15.75" customHeight="1" s="54"/>
    <row r="344" ht="15.75" customHeight="1" s="54"/>
    <row r="345" ht="15.75" customHeight="1" s="54"/>
    <row r="346" ht="15.75" customHeight="1" s="54"/>
    <row r="347" ht="15.75" customHeight="1" s="54"/>
    <row r="348" ht="15.75" customHeight="1" s="54"/>
    <row r="349" ht="15.75" customHeight="1" s="54"/>
    <row r="350" ht="15.75" customHeight="1" s="54"/>
    <row r="351" ht="15.75" customHeight="1" s="54"/>
    <row r="352" ht="15.75" customHeight="1" s="54"/>
    <row r="353" ht="15.75" customHeight="1" s="54"/>
    <row r="354" ht="15.75" customHeight="1" s="54"/>
    <row r="355" ht="15.75" customHeight="1" s="54"/>
    <row r="356" ht="15.75" customHeight="1" s="54"/>
    <row r="357" ht="15.75" customHeight="1" s="54"/>
    <row r="358" ht="15.75" customHeight="1" s="54"/>
    <row r="359" ht="15.75" customHeight="1" s="54"/>
    <row r="360" ht="15.75" customHeight="1" s="54"/>
    <row r="361" ht="15.75" customHeight="1" s="54"/>
    <row r="362" ht="15.75" customHeight="1" s="54"/>
    <row r="363" ht="15.75" customHeight="1" s="54"/>
    <row r="364" ht="15.75" customHeight="1" s="54"/>
    <row r="365" ht="15.75" customHeight="1" s="54"/>
    <row r="366" ht="15.75" customHeight="1" s="54"/>
    <row r="367" ht="15.75" customHeight="1" s="54"/>
    <row r="368" ht="15.75" customHeight="1" s="54"/>
    <row r="369" ht="15.75" customHeight="1" s="54"/>
    <row r="370" ht="15.75" customHeight="1" s="54"/>
    <row r="371" ht="15.75" customHeight="1" s="54"/>
    <row r="372" ht="15.75" customHeight="1" s="54"/>
    <row r="373" ht="15.75" customHeight="1" s="54"/>
    <row r="374" ht="15.75" customHeight="1" s="54"/>
    <row r="375" ht="15.75" customHeight="1" s="54"/>
    <row r="376" ht="15.75" customHeight="1" s="54"/>
    <row r="377" ht="15.75" customHeight="1" s="54"/>
    <row r="378" ht="15.75" customHeight="1" s="54"/>
    <row r="379" ht="15.75" customHeight="1" s="54"/>
    <row r="380" ht="15.75" customHeight="1" s="54"/>
    <row r="381" ht="15.75" customHeight="1" s="54"/>
    <row r="382" ht="15.75" customHeight="1" s="54"/>
    <row r="383" ht="15.75" customHeight="1" s="54"/>
    <row r="384" ht="15.75" customHeight="1" s="54"/>
    <row r="385" ht="15.75" customHeight="1" s="54"/>
    <row r="386" ht="15.75" customHeight="1" s="54"/>
    <row r="387" ht="15.75" customHeight="1" s="54"/>
    <row r="388" ht="15.75" customHeight="1" s="54"/>
    <row r="389" ht="15.75" customHeight="1" s="54"/>
    <row r="390" ht="15.75" customHeight="1" s="54"/>
    <row r="391" ht="15.75" customHeight="1" s="54"/>
    <row r="392" ht="15.75" customHeight="1" s="54"/>
    <row r="393" ht="15.75" customHeight="1" s="54"/>
    <row r="394" ht="15.75" customHeight="1" s="54"/>
    <row r="395" ht="15.75" customHeight="1" s="54"/>
    <row r="396" ht="15.75" customHeight="1" s="54"/>
    <row r="397" ht="15.75" customHeight="1" s="54"/>
    <row r="398" ht="15.75" customHeight="1" s="54"/>
    <row r="399" ht="15.75" customHeight="1" s="54"/>
    <row r="400" ht="15.75" customHeight="1" s="54"/>
    <row r="401" ht="15.75" customHeight="1" s="54"/>
    <row r="402" ht="15.75" customHeight="1" s="54"/>
    <row r="403" ht="15.75" customHeight="1" s="54"/>
    <row r="404" ht="15.75" customHeight="1" s="54"/>
    <row r="405" ht="15.75" customHeight="1" s="54"/>
    <row r="406" ht="15.75" customHeight="1" s="54"/>
    <row r="407" ht="15.75" customHeight="1" s="54"/>
    <row r="408" ht="15.75" customHeight="1" s="54"/>
    <row r="409" ht="15.75" customHeight="1" s="54"/>
    <row r="410" ht="15.75" customHeight="1" s="54"/>
    <row r="411" ht="15.75" customHeight="1" s="54"/>
    <row r="412" ht="15.75" customHeight="1" s="54"/>
    <row r="413" ht="15.75" customHeight="1" s="54"/>
    <row r="414" ht="15.75" customHeight="1" s="54"/>
    <row r="415" ht="15.75" customHeight="1" s="54"/>
    <row r="416" ht="15.75" customHeight="1" s="54"/>
    <row r="417" ht="15.75" customHeight="1" s="54"/>
    <row r="418" ht="15.75" customHeight="1" s="54"/>
    <row r="419" ht="15.75" customHeight="1" s="54"/>
    <row r="420" ht="15.75" customHeight="1" s="54"/>
    <row r="421" ht="15.75" customHeight="1" s="54"/>
    <row r="422" ht="15.75" customHeight="1" s="54"/>
    <row r="423" ht="15.75" customHeight="1" s="54"/>
    <row r="424" ht="15.75" customHeight="1" s="54"/>
    <row r="425" ht="15.75" customHeight="1" s="54"/>
    <row r="426" ht="15.75" customHeight="1" s="54"/>
    <row r="427" ht="15.75" customHeight="1" s="54"/>
    <row r="428" ht="15.75" customHeight="1" s="54"/>
    <row r="429" ht="15.75" customHeight="1" s="54"/>
    <row r="430" ht="15.75" customHeight="1" s="54"/>
    <row r="431" ht="15.75" customHeight="1" s="54"/>
    <row r="432" ht="15.75" customHeight="1" s="54"/>
    <row r="433" ht="15.75" customHeight="1" s="54"/>
    <row r="434" ht="15.75" customHeight="1" s="54"/>
    <row r="435" ht="15.75" customHeight="1" s="54"/>
    <row r="436" ht="15.75" customHeight="1" s="54"/>
    <row r="437" ht="15.75" customHeight="1" s="54"/>
    <row r="438" ht="15.75" customHeight="1" s="54"/>
    <row r="439" ht="15.75" customHeight="1" s="54"/>
    <row r="440" ht="15.75" customHeight="1" s="54"/>
    <row r="441" ht="15.75" customHeight="1" s="54"/>
    <row r="442" ht="15.75" customHeight="1" s="54"/>
    <row r="443" ht="15.75" customHeight="1" s="54"/>
    <row r="444" ht="15.75" customHeight="1" s="54"/>
    <row r="445" ht="15.75" customHeight="1" s="54"/>
    <row r="446" ht="15.75" customHeight="1" s="54"/>
    <row r="447" ht="15.75" customHeight="1" s="54"/>
    <row r="448" ht="15.75" customHeight="1" s="54"/>
    <row r="449" ht="15.75" customHeight="1" s="54"/>
    <row r="450" ht="15.75" customHeight="1" s="54"/>
    <row r="451" ht="15.75" customHeight="1" s="54"/>
    <row r="452" ht="15.75" customHeight="1" s="54"/>
    <row r="453" ht="15.75" customHeight="1" s="54"/>
    <row r="454" ht="15.75" customHeight="1" s="54"/>
    <row r="455" ht="15.75" customHeight="1" s="54"/>
    <row r="456" ht="15.75" customHeight="1" s="54"/>
    <row r="457" ht="15.75" customHeight="1" s="54"/>
    <row r="458" ht="15.75" customHeight="1" s="54"/>
    <row r="459" ht="15.75" customHeight="1" s="54"/>
    <row r="460" ht="15.75" customHeight="1" s="54"/>
    <row r="461" ht="15.75" customHeight="1" s="54"/>
    <row r="462" ht="15.75" customHeight="1" s="54"/>
    <row r="463" ht="15.75" customHeight="1" s="54"/>
    <row r="464" ht="15.75" customHeight="1" s="54"/>
    <row r="465" ht="15.75" customHeight="1" s="54"/>
    <row r="466" ht="15.75" customHeight="1" s="54"/>
    <row r="467" ht="15.75" customHeight="1" s="54"/>
    <row r="468" ht="15.75" customHeight="1" s="54"/>
    <row r="469" ht="15.75" customHeight="1" s="54"/>
    <row r="470" ht="15.75" customHeight="1" s="54"/>
    <row r="471" ht="15.75" customHeight="1" s="54"/>
    <row r="472" ht="15.75" customHeight="1" s="54"/>
    <row r="473" ht="15.75" customHeight="1" s="54"/>
    <row r="474" ht="15.75" customHeight="1" s="54"/>
    <row r="475" ht="15.75" customHeight="1" s="54"/>
    <row r="476" ht="15.75" customHeight="1" s="54"/>
    <row r="477" ht="15.75" customHeight="1" s="54"/>
    <row r="478" ht="15.75" customHeight="1" s="54"/>
    <row r="479" ht="15.75" customHeight="1" s="54"/>
    <row r="480" ht="15.75" customHeight="1" s="54"/>
    <row r="481" ht="15.75" customHeight="1" s="54"/>
    <row r="482" ht="15.75" customHeight="1" s="54"/>
    <row r="483" ht="15.75" customHeight="1" s="54"/>
    <row r="484" ht="15.75" customHeight="1" s="54"/>
    <row r="485" ht="15.75" customHeight="1" s="54"/>
    <row r="486" ht="15.75" customHeight="1" s="54"/>
    <row r="487" ht="15.75" customHeight="1" s="54"/>
    <row r="488" ht="15.75" customHeight="1" s="54"/>
    <row r="489" ht="15.75" customHeight="1" s="54"/>
    <row r="490" ht="15.75" customHeight="1" s="54"/>
    <row r="491" ht="15.75" customHeight="1" s="54"/>
    <row r="492" ht="15.75" customHeight="1" s="54"/>
    <row r="493" ht="15.75" customHeight="1" s="54"/>
    <row r="494" ht="15.75" customHeight="1" s="54"/>
    <row r="495" ht="15.75" customHeight="1" s="54"/>
    <row r="496" ht="15.75" customHeight="1" s="54"/>
    <row r="497" ht="15.75" customHeight="1" s="54"/>
    <row r="498" ht="15.75" customHeight="1" s="54"/>
    <row r="499" ht="15.75" customHeight="1" s="54"/>
    <row r="500" ht="15.75" customHeight="1" s="54"/>
    <row r="501" ht="15.75" customHeight="1" s="54"/>
    <row r="502" ht="15.75" customHeight="1" s="54"/>
    <row r="503" ht="15.75" customHeight="1" s="54"/>
    <row r="504" ht="15.75" customHeight="1" s="54"/>
    <row r="505" ht="15.75" customHeight="1" s="54"/>
    <row r="506" ht="15.75" customHeight="1" s="54"/>
    <row r="507" ht="15.75" customHeight="1" s="54"/>
    <row r="508" ht="15.75" customHeight="1" s="54"/>
    <row r="509" ht="15.75" customHeight="1" s="54"/>
    <row r="510" ht="15.75" customHeight="1" s="54"/>
    <row r="511" ht="15.75" customHeight="1" s="54"/>
    <row r="512" ht="15.75" customHeight="1" s="54"/>
    <row r="513" ht="15.75" customHeight="1" s="54"/>
    <row r="514" ht="15.75" customHeight="1" s="54"/>
    <row r="515" ht="15.75" customHeight="1" s="54"/>
    <row r="516" ht="15.75" customHeight="1" s="54"/>
    <row r="517" ht="15.75" customHeight="1" s="54"/>
    <row r="518" ht="15.75" customHeight="1" s="54"/>
    <row r="519" ht="15.75" customHeight="1" s="54"/>
    <row r="520" ht="15.75" customHeight="1" s="54"/>
    <row r="521" ht="15.75" customHeight="1" s="54"/>
    <row r="522" ht="15.75" customHeight="1" s="54"/>
    <row r="523" ht="15.75" customHeight="1" s="54"/>
    <row r="524" ht="15.75" customHeight="1" s="54"/>
    <row r="525" ht="15.75" customHeight="1" s="54"/>
    <row r="526" ht="15.75" customHeight="1" s="54"/>
    <row r="527" ht="15.75" customHeight="1" s="54"/>
    <row r="528" ht="15.75" customHeight="1" s="54"/>
    <row r="529" ht="15.75" customHeight="1" s="54"/>
    <row r="530" ht="15.75" customHeight="1" s="54"/>
    <row r="531" ht="15.75" customHeight="1" s="54"/>
    <row r="532" ht="15.75" customHeight="1" s="54"/>
    <row r="533" ht="15.75" customHeight="1" s="54"/>
    <row r="534" ht="15.75" customHeight="1" s="54"/>
    <row r="535" ht="15.75" customHeight="1" s="54"/>
    <row r="536" ht="15.75" customHeight="1" s="54"/>
    <row r="537" ht="15.75" customHeight="1" s="54"/>
    <row r="538" ht="15.75" customHeight="1" s="54"/>
    <row r="539" ht="15.75" customHeight="1" s="54"/>
    <row r="540" ht="15.75" customHeight="1" s="54"/>
    <row r="541" ht="15.75" customHeight="1" s="54"/>
    <row r="542" ht="15.75" customHeight="1" s="54"/>
    <row r="543" ht="15.75" customHeight="1" s="54"/>
    <row r="544" ht="15.75" customHeight="1" s="54"/>
    <row r="545" ht="15.75" customHeight="1" s="54"/>
    <row r="546" ht="15.75" customHeight="1" s="54"/>
    <row r="547" ht="15.75" customHeight="1" s="54"/>
    <row r="548" ht="15.75" customHeight="1" s="54"/>
    <row r="549" ht="15.75" customHeight="1" s="54"/>
    <row r="550" ht="15.75" customHeight="1" s="54"/>
    <row r="551" ht="15.75" customHeight="1" s="54"/>
    <row r="552" ht="15.75" customHeight="1" s="54"/>
    <row r="553" ht="15.75" customHeight="1" s="54"/>
    <row r="554" ht="15.75" customHeight="1" s="54"/>
    <row r="555" ht="15.75" customHeight="1" s="54"/>
    <row r="556" ht="15.75" customHeight="1" s="54"/>
    <row r="557" ht="15.75" customHeight="1" s="54"/>
    <row r="558" ht="15.75" customHeight="1" s="54"/>
    <row r="559" ht="15.75" customHeight="1" s="54"/>
    <row r="560" ht="15.75" customHeight="1" s="54"/>
    <row r="561" ht="15.75" customHeight="1" s="54"/>
    <row r="562" ht="15.75" customHeight="1" s="54"/>
    <row r="563" ht="15.75" customHeight="1" s="54"/>
    <row r="564" ht="15.75" customHeight="1" s="54"/>
    <row r="565" ht="15.75" customHeight="1" s="54"/>
    <row r="566" ht="15.75" customHeight="1" s="54"/>
    <row r="567" ht="15.75" customHeight="1" s="54"/>
    <row r="568" ht="15.75" customHeight="1" s="54"/>
    <row r="569" ht="15.75" customHeight="1" s="54"/>
    <row r="570" ht="15.75" customHeight="1" s="54"/>
    <row r="571" ht="15.75" customHeight="1" s="54"/>
    <row r="572" ht="15.75" customHeight="1" s="54"/>
    <row r="573" ht="15.75" customHeight="1" s="54"/>
    <row r="574" ht="15.75" customHeight="1" s="54"/>
    <row r="575" ht="15.75" customHeight="1" s="54"/>
    <row r="576" ht="15.75" customHeight="1" s="54"/>
    <row r="577" ht="15.75" customHeight="1" s="54"/>
    <row r="578" ht="15.75" customHeight="1" s="54"/>
    <row r="579" ht="15.75" customHeight="1" s="54"/>
    <row r="580" ht="15.75" customHeight="1" s="54"/>
    <row r="581" ht="15.75" customHeight="1" s="54"/>
    <row r="582" ht="15.75" customHeight="1" s="54"/>
    <row r="583" ht="15.75" customHeight="1" s="54"/>
    <row r="584" ht="15.75" customHeight="1" s="54"/>
    <row r="585" ht="15.75" customHeight="1" s="54"/>
    <row r="586" ht="15.75" customHeight="1" s="54"/>
    <row r="587" ht="15.75" customHeight="1" s="54"/>
    <row r="588" ht="15.75" customHeight="1" s="54"/>
    <row r="589" ht="15.75" customHeight="1" s="54"/>
    <row r="590" ht="15.75" customHeight="1" s="54"/>
    <row r="591" ht="15.75" customHeight="1" s="54"/>
    <row r="592" ht="15.75" customHeight="1" s="54"/>
    <row r="593" ht="15.75" customHeight="1" s="54"/>
    <row r="594" ht="15.75" customHeight="1" s="54"/>
    <row r="595" ht="15.75" customHeight="1" s="54"/>
    <row r="596" ht="15.75" customHeight="1" s="54"/>
    <row r="597" ht="15.75" customHeight="1" s="54"/>
    <row r="598" ht="15.75" customHeight="1" s="54"/>
    <row r="599" ht="15.75" customHeight="1" s="54"/>
    <row r="600" ht="15.75" customHeight="1" s="54"/>
    <row r="601" ht="15.75" customHeight="1" s="54"/>
    <row r="602" ht="15.75" customHeight="1" s="54"/>
    <row r="603" ht="15.75" customHeight="1" s="54"/>
    <row r="604" ht="15.75" customHeight="1" s="54"/>
    <row r="605" ht="15.75" customHeight="1" s="54"/>
    <row r="606" ht="15.75" customHeight="1" s="54"/>
    <row r="607" ht="15.75" customHeight="1" s="54"/>
    <row r="608" ht="15.75" customHeight="1" s="54"/>
    <row r="609" ht="15.75" customHeight="1" s="54"/>
    <row r="610" ht="15.75" customHeight="1" s="54"/>
    <row r="611" ht="15.75" customHeight="1" s="54"/>
    <row r="612" ht="15.75" customHeight="1" s="54"/>
    <row r="613" ht="15.75" customHeight="1" s="54"/>
    <row r="614" ht="15.75" customHeight="1" s="54"/>
    <row r="615" ht="15.75" customHeight="1" s="54"/>
    <row r="616" ht="15.75" customHeight="1" s="54"/>
    <row r="617" ht="15.75" customHeight="1" s="54"/>
    <row r="618" ht="15.75" customHeight="1" s="54"/>
    <row r="619" ht="15.75" customHeight="1" s="54"/>
    <row r="620" ht="15.75" customHeight="1" s="54"/>
    <row r="621" ht="15.75" customHeight="1" s="54"/>
    <row r="622" ht="15.75" customHeight="1" s="54"/>
    <row r="623" ht="15.75" customHeight="1" s="54"/>
    <row r="624" ht="15.75" customHeight="1" s="54"/>
    <row r="625" ht="15.75" customHeight="1" s="54"/>
    <row r="626" ht="15.75" customHeight="1" s="54"/>
    <row r="627" ht="15.75" customHeight="1" s="54"/>
    <row r="628" ht="15.75" customHeight="1" s="54"/>
    <row r="629" ht="15.75" customHeight="1" s="54"/>
    <row r="630" ht="15.75" customHeight="1" s="54"/>
    <row r="631" ht="15.75" customHeight="1" s="54"/>
    <row r="632" ht="15.75" customHeight="1" s="54"/>
    <row r="633" ht="15.75" customHeight="1" s="54"/>
    <row r="634" ht="15.75" customHeight="1" s="54"/>
    <row r="635" ht="15.75" customHeight="1" s="54"/>
    <row r="636" ht="15.75" customHeight="1" s="54"/>
    <row r="637" ht="15.75" customHeight="1" s="54"/>
    <row r="638" ht="15.75" customHeight="1" s="54"/>
    <row r="639" ht="15.75" customHeight="1" s="54"/>
    <row r="640" ht="15.75" customHeight="1" s="54"/>
    <row r="641" ht="15.75" customHeight="1" s="54"/>
    <row r="642" ht="15.75" customHeight="1" s="54"/>
    <row r="643" ht="15.75" customHeight="1" s="54"/>
    <row r="644" ht="15.75" customHeight="1" s="54"/>
    <row r="645" ht="15.75" customHeight="1" s="54"/>
    <row r="646" ht="15.75" customHeight="1" s="54"/>
    <row r="647" ht="15.75" customHeight="1" s="54"/>
    <row r="648" ht="15.75" customHeight="1" s="54"/>
    <row r="649" ht="15.75" customHeight="1" s="54"/>
    <row r="650" ht="15.75" customHeight="1" s="54"/>
    <row r="651" ht="15.75" customHeight="1" s="54"/>
    <row r="652" ht="15.75" customHeight="1" s="54"/>
    <row r="653" ht="15.75" customHeight="1" s="54"/>
    <row r="654" ht="15.75" customHeight="1" s="54"/>
    <row r="655" ht="15.75" customHeight="1" s="54"/>
    <row r="656" ht="15.75" customHeight="1" s="54"/>
    <row r="657" ht="15.75" customHeight="1" s="54"/>
    <row r="658" ht="15.75" customHeight="1" s="54"/>
    <row r="659" ht="15.75" customHeight="1" s="54"/>
    <row r="660" ht="15.75" customHeight="1" s="54"/>
    <row r="661" ht="15.75" customHeight="1" s="54"/>
    <row r="662" ht="15.75" customHeight="1" s="54"/>
    <row r="663" ht="15.75" customHeight="1" s="54"/>
    <row r="664" ht="15.75" customHeight="1" s="54"/>
    <row r="665" ht="15.75" customHeight="1" s="54"/>
    <row r="666" ht="15.75" customHeight="1" s="54"/>
    <row r="667" ht="15.75" customHeight="1" s="54"/>
    <row r="668" ht="15.75" customHeight="1" s="54"/>
    <row r="669" ht="15.75" customHeight="1" s="54"/>
    <row r="670" ht="15.75" customHeight="1" s="54"/>
    <row r="671" ht="15.75" customHeight="1" s="54"/>
    <row r="672" ht="15.75" customHeight="1" s="54"/>
    <row r="673" ht="15.75" customHeight="1" s="54"/>
    <row r="674" ht="15.75" customHeight="1" s="54"/>
    <row r="675" ht="15.75" customHeight="1" s="54"/>
    <row r="676" ht="15.75" customHeight="1" s="54"/>
    <row r="677" ht="15.75" customHeight="1" s="54"/>
    <row r="678" ht="15.75" customHeight="1" s="54"/>
    <row r="679" ht="15.75" customHeight="1" s="54"/>
    <row r="680" ht="15.75" customHeight="1" s="54"/>
    <row r="681" ht="15.75" customHeight="1" s="54"/>
    <row r="682" ht="15.75" customHeight="1" s="54"/>
    <row r="683" ht="15.75" customHeight="1" s="54"/>
    <row r="684" ht="15.75" customHeight="1" s="54"/>
    <row r="685" ht="15.75" customHeight="1" s="54"/>
    <row r="686" ht="15.75" customHeight="1" s="54"/>
    <row r="687" ht="15.75" customHeight="1" s="54"/>
    <row r="688" ht="15.75" customHeight="1" s="54"/>
    <row r="689" ht="15.75" customHeight="1" s="54"/>
    <row r="690" ht="15.75" customHeight="1" s="54"/>
    <row r="691" ht="15.75" customHeight="1" s="54"/>
    <row r="692" ht="15.75" customHeight="1" s="54"/>
    <row r="693" ht="15.75" customHeight="1" s="54"/>
    <row r="694" ht="15.75" customHeight="1" s="54"/>
    <row r="695" ht="15.75" customHeight="1" s="54"/>
    <row r="696" ht="15.75" customHeight="1" s="54"/>
    <row r="697" ht="15.75" customHeight="1" s="54"/>
    <row r="698" ht="15.75" customHeight="1" s="54"/>
    <row r="699" ht="15.75" customHeight="1" s="54"/>
    <row r="700" ht="15.75" customHeight="1" s="54"/>
    <row r="701" ht="15.75" customHeight="1" s="54"/>
    <row r="702" ht="15.75" customHeight="1" s="54"/>
    <row r="703" ht="15.75" customHeight="1" s="54"/>
    <row r="704" ht="15.75" customHeight="1" s="54"/>
    <row r="705" ht="15.75" customHeight="1" s="54"/>
    <row r="706" ht="15.75" customHeight="1" s="54"/>
    <row r="707" ht="15.75" customHeight="1" s="54"/>
    <row r="708" ht="15.75" customHeight="1" s="54"/>
    <row r="709" ht="15.75" customHeight="1" s="54"/>
    <row r="710" ht="15.75" customHeight="1" s="54"/>
    <row r="711" ht="15.75" customHeight="1" s="54"/>
    <row r="712" ht="15.75" customHeight="1" s="54"/>
    <row r="713" ht="15.75" customHeight="1" s="54"/>
    <row r="714" ht="15.75" customHeight="1" s="54"/>
    <row r="715" ht="15.75" customHeight="1" s="54"/>
    <row r="716" ht="15.75" customHeight="1" s="54"/>
    <row r="717" ht="15.75" customHeight="1" s="54"/>
    <row r="718" ht="15.75" customHeight="1" s="54"/>
    <row r="719" ht="15.75" customHeight="1" s="54"/>
    <row r="720" ht="15.75" customHeight="1" s="54"/>
    <row r="721" ht="15.75" customHeight="1" s="54"/>
    <row r="722" ht="15.75" customHeight="1" s="54"/>
    <row r="723" ht="15.75" customHeight="1" s="54"/>
    <row r="724" ht="15.75" customHeight="1" s="54"/>
    <row r="725" ht="15.75" customHeight="1" s="54"/>
    <row r="726" ht="15.75" customHeight="1" s="54"/>
    <row r="727" ht="15.75" customHeight="1" s="54"/>
    <row r="728" ht="15.75" customHeight="1" s="54"/>
    <row r="729" ht="15.75" customHeight="1" s="54"/>
    <row r="730" ht="15.75" customHeight="1" s="54"/>
    <row r="731" ht="15.75" customHeight="1" s="54"/>
    <row r="732" ht="15.75" customHeight="1" s="54"/>
    <row r="733" ht="15.75" customHeight="1" s="54"/>
    <row r="734" ht="15.75" customHeight="1" s="54"/>
    <row r="735" ht="15.75" customHeight="1" s="54"/>
    <row r="736" ht="15.75" customHeight="1" s="54"/>
    <row r="737" ht="15.75" customHeight="1" s="54"/>
    <row r="738" ht="15.75" customHeight="1" s="54"/>
    <row r="739" ht="15.75" customHeight="1" s="54"/>
    <row r="740" ht="15.75" customHeight="1" s="54"/>
    <row r="741" ht="15.75" customHeight="1" s="54"/>
    <row r="742" ht="15.75" customHeight="1" s="54"/>
    <row r="743" ht="15.75" customHeight="1" s="54"/>
    <row r="744" ht="15.75" customHeight="1" s="54"/>
    <row r="745" ht="15.75" customHeight="1" s="54"/>
    <row r="746" ht="15.75" customHeight="1" s="54"/>
    <row r="747" ht="15.75" customHeight="1" s="54"/>
    <row r="748" ht="15.75" customHeight="1" s="54"/>
    <row r="749" ht="15.75" customHeight="1" s="54"/>
    <row r="750" ht="15.75" customHeight="1" s="54"/>
    <row r="751" ht="15.75" customHeight="1" s="54"/>
    <row r="752" ht="15.75" customHeight="1" s="54"/>
    <row r="753" ht="15.75" customHeight="1" s="54"/>
    <row r="754" ht="15.75" customHeight="1" s="54"/>
    <row r="755" ht="15.75" customHeight="1" s="54"/>
    <row r="756" ht="15.75" customHeight="1" s="54"/>
    <row r="757" ht="15.75" customHeight="1" s="54"/>
    <row r="758" ht="15.75" customHeight="1" s="54"/>
    <row r="759" ht="15.75" customHeight="1" s="54"/>
    <row r="760" ht="15.75" customHeight="1" s="54"/>
    <row r="761" ht="15.75" customHeight="1" s="54"/>
    <row r="762" ht="15.75" customHeight="1" s="54"/>
    <row r="763" ht="15.75" customHeight="1" s="54"/>
    <row r="764" ht="15.75" customHeight="1" s="54"/>
    <row r="765" ht="15.75" customHeight="1" s="54"/>
    <row r="766" ht="15.75" customHeight="1" s="54"/>
    <row r="767" ht="15.75" customHeight="1" s="54"/>
    <row r="768" ht="15.75" customHeight="1" s="54"/>
    <row r="769" ht="15.75" customHeight="1" s="54"/>
    <row r="770" ht="15.75" customHeight="1" s="54"/>
    <row r="771" ht="15.75" customHeight="1" s="54"/>
    <row r="772" ht="15.75" customHeight="1" s="54"/>
    <row r="773" ht="15.75" customHeight="1" s="54"/>
    <row r="774" ht="15.75" customHeight="1" s="54"/>
    <row r="775" ht="15.75" customHeight="1" s="54"/>
    <row r="776" ht="15.75" customHeight="1" s="54"/>
    <row r="777" ht="15.75" customHeight="1" s="54"/>
    <row r="778" ht="15.75" customHeight="1" s="54"/>
    <row r="779" ht="15.75" customHeight="1" s="54"/>
    <row r="780" ht="15.75" customHeight="1" s="54"/>
    <row r="781" ht="15.75" customHeight="1" s="54"/>
    <row r="782" ht="15.75" customHeight="1" s="54"/>
    <row r="783" ht="15.75" customHeight="1" s="54"/>
    <row r="784" ht="15.75" customHeight="1" s="54"/>
    <row r="785" ht="15.75" customHeight="1" s="54"/>
    <row r="786" ht="15.75" customHeight="1" s="54"/>
    <row r="787" ht="15.75" customHeight="1" s="54"/>
    <row r="788" ht="15.75" customHeight="1" s="54"/>
    <row r="789" ht="15.75" customHeight="1" s="54"/>
    <row r="790" ht="15.75" customHeight="1" s="54"/>
    <row r="791" ht="15.75" customHeight="1" s="54"/>
    <row r="792" ht="15.75" customHeight="1" s="54"/>
    <row r="793" ht="15.75" customHeight="1" s="54"/>
    <row r="794" ht="15.75" customHeight="1" s="54"/>
    <row r="795" ht="15.75" customHeight="1" s="54"/>
    <row r="796" ht="15.75" customHeight="1" s="54"/>
    <row r="797" ht="15.75" customHeight="1" s="54"/>
    <row r="798" ht="15.75" customHeight="1" s="54"/>
    <row r="799" ht="15.75" customHeight="1" s="54"/>
    <row r="800" ht="15.75" customHeight="1" s="54"/>
    <row r="801" ht="15.75" customHeight="1" s="54"/>
    <row r="802" ht="15.75" customHeight="1" s="54"/>
    <row r="803" ht="15.75" customHeight="1" s="54"/>
    <row r="804" ht="15.75" customHeight="1" s="54"/>
    <row r="805" ht="15.75" customHeight="1" s="54"/>
    <row r="806" ht="15.75" customHeight="1" s="54"/>
    <row r="807" ht="15.75" customHeight="1" s="54"/>
    <row r="808" ht="15.75" customHeight="1" s="54"/>
    <row r="809" ht="15.75" customHeight="1" s="54"/>
    <row r="810" ht="15.75" customHeight="1" s="54"/>
    <row r="811" ht="15.75" customHeight="1" s="54"/>
    <row r="812" ht="15.75" customHeight="1" s="54"/>
    <row r="813" ht="15.75" customHeight="1" s="54"/>
    <row r="814" ht="15.75" customHeight="1" s="54"/>
    <row r="815" ht="15.75" customHeight="1" s="54"/>
    <row r="816" ht="15.75" customHeight="1" s="54"/>
    <row r="817" ht="15.75" customHeight="1" s="54"/>
    <row r="818" ht="15.75" customHeight="1" s="54"/>
    <row r="819" ht="15.75" customHeight="1" s="54"/>
    <row r="820" ht="15.75" customHeight="1" s="54"/>
    <row r="821" ht="15.75" customHeight="1" s="54"/>
    <row r="822" ht="15.75" customHeight="1" s="54"/>
    <row r="823" ht="15.75" customHeight="1" s="54"/>
    <row r="824" ht="15.75" customHeight="1" s="54"/>
    <row r="825" ht="15.75" customHeight="1" s="54"/>
    <row r="826" ht="15.75" customHeight="1" s="54"/>
    <row r="827" ht="15.75" customHeight="1" s="54"/>
    <row r="828" ht="15.75" customHeight="1" s="54"/>
    <row r="829" ht="15.75" customHeight="1" s="54"/>
    <row r="830" ht="15.75" customHeight="1" s="54"/>
    <row r="831" ht="15.75" customHeight="1" s="54"/>
    <row r="832" ht="15.75" customHeight="1" s="54"/>
    <row r="833" ht="15.75" customHeight="1" s="54"/>
    <row r="834" ht="15.75" customHeight="1" s="54"/>
    <row r="835" ht="15.75" customHeight="1" s="54"/>
    <row r="836" ht="15.75" customHeight="1" s="54"/>
    <row r="837" ht="15.75" customHeight="1" s="54"/>
    <row r="838" ht="15.75" customHeight="1" s="54"/>
    <row r="839" ht="15.75" customHeight="1" s="54"/>
    <row r="840" ht="15.75" customHeight="1" s="54"/>
    <row r="841" ht="15.75" customHeight="1" s="54"/>
    <row r="842" ht="15.75" customHeight="1" s="54"/>
    <row r="843" ht="15.75" customHeight="1" s="54"/>
    <row r="844" ht="15.75" customHeight="1" s="54"/>
    <row r="845" ht="15.75" customHeight="1" s="54"/>
    <row r="846" ht="15.75" customHeight="1" s="54"/>
    <row r="847" ht="15.75" customHeight="1" s="54"/>
    <row r="848" ht="15.75" customHeight="1" s="54"/>
    <row r="849" ht="15.75" customHeight="1" s="54"/>
    <row r="850" ht="15.75" customHeight="1" s="54"/>
    <row r="851" ht="15.75" customHeight="1" s="54"/>
    <row r="852" ht="15.75" customHeight="1" s="54"/>
    <row r="853" ht="15.75" customHeight="1" s="54"/>
    <row r="854" ht="15.75" customHeight="1" s="54"/>
    <row r="855" ht="15.75" customHeight="1" s="54"/>
    <row r="856" ht="15.75" customHeight="1" s="54"/>
    <row r="857" ht="15.75" customHeight="1" s="54"/>
    <row r="858" ht="15.75" customHeight="1" s="54"/>
    <row r="859" ht="15.75" customHeight="1" s="54"/>
    <row r="860" ht="15.75" customHeight="1" s="54"/>
    <row r="861" ht="15.75" customHeight="1" s="54"/>
    <row r="862" ht="15.75" customHeight="1" s="54"/>
    <row r="863" ht="15.75" customHeight="1" s="54"/>
    <row r="864" ht="15.75" customHeight="1" s="54"/>
    <row r="865" ht="15.75" customHeight="1" s="54"/>
    <row r="866" ht="15.75" customHeight="1" s="54"/>
    <row r="867" ht="15.75" customHeight="1" s="54"/>
    <row r="868" ht="15.75" customHeight="1" s="54"/>
    <row r="869" ht="15.75" customHeight="1" s="54"/>
    <row r="870" ht="15.75" customHeight="1" s="54"/>
    <row r="871" ht="15.75" customHeight="1" s="54"/>
    <row r="872" ht="15.75" customHeight="1" s="54"/>
    <row r="873" ht="15.75" customHeight="1" s="54"/>
    <row r="874" ht="15.75" customHeight="1" s="54"/>
    <row r="875" ht="15.75" customHeight="1" s="54"/>
    <row r="876" ht="15.75" customHeight="1" s="54"/>
    <row r="877" ht="15.75" customHeight="1" s="54"/>
    <row r="878" ht="15.75" customHeight="1" s="54"/>
    <row r="879" ht="15.75" customHeight="1" s="54"/>
    <row r="880" ht="15.75" customHeight="1" s="54"/>
    <row r="881" ht="15.75" customHeight="1" s="54"/>
    <row r="882" ht="15.75" customHeight="1" s="54"/>
    <row r="883" ht="15.75" customHeight="1" s="54"/>
    <row r="884" ht="15.75" customHeight="1" s="54"/>
    <row r="885" ht="15.75" customHeight="1" s="54"/>
    <row r="886" ht="15.75" customHeight="1" s="54"/>
    <row r="887" ht="15.75" customHeight="1" s="54"/>
    <row r="888" ht="15.75" customHeight="1" s="54"/>
    <row r="889" ht="15.75" customHeight="1" s="54"/>
    <row r="890" ht="15.75" customHeight="1" s="54"/>
    <row r="891" ht="15.75" customHeight="1" s="54"/>
    <row r="892" ht="15.75" customHeight="1" s="54"/>
    <row r="893" ht="15.75" customHeight="1" s="54"/>
    <row r="894" ht="15.75" customHeight="1" s="54"/>
    <row r="895" ht="15.75" customHeight="1" s="54"/>
    <row r="896" ht="15.75" customHeight="1" s="54"/>
    <row r="897" ht="15.75" customHeight="1" s="54"/>
    <row r="898" ht="15.75" customHeight="1" s="54"/>
    <row r="899" ht="15.75" customHeight="1" s="54"/>
    <row r="900" ht="15.75" customHeight="1" s="54"/>
    <row r="901" ht="15.75" customHeight="1" s="54"/>
    <row r="902" ht="15.75" customHeight="1" s="54"/>
    <row r="903" ht="15.75" customHeight="1" s="54"/>
    <row r="904" ht="15.75" customHeight="1" s="54"/>
    <row r="905" ht="15.75" customHeight="1" s="54"/>
    <row r="906" ht="15.75" customHeight="1" s="54"/>
    <row r="907" ht="15.75" customHeight="1" s="54"/>
    <row r="908" ht="15.75" customHeight="1" s="54"/>
    <row r="909" ht="15.75" customHeight="1" s="54"/>
    <row r="910" ht="15.75" customHeight="1" s="54"/>
    <row r="911" ht="15.75" customHeight="1" s="54"/>
    <row r="912" ht="15.75" customHeight="1" s="54"/>
    <row r="913" ht="15.75" customHeight="1" s="54"/>
    <row r="914" ht="15.75" customHeight="1" s="54"/>
    <row r="915" ht="15.75" customHeight="1" s="54"/>
    <row r="916" ht="15.75" customHeight="1" s="54"/>
    <row r="917" ht="15.75" customHeight="1" s="54"/>
    <row r="918" ht="15.75" customHeight="1" s="54"/>
    <row r="919" ht="15.75" customHeight="1" s="54"/>
    <row r="920" ht="15.75" customHeight="1" s="54"/>
    <row r="921" ht="15.75" customHeight="1" s="54"/>
    <row r="922" ht="15.75" customHeight="1" s="54"/>
    <row r="923" ht="15.75" customHeight="1" s="54"/>
    <row r="924" ht="15.75" customHeight="1" s="54"/>
    <row r="925" ht="15.75" customHeight="1" s="54"/>
    <row r="926" ht="15.75" customHeight="1" s="54"/>
    <row r="927" ht="15.75" customHeight="1" s="54"/>
    <row r="928" ht="15.75" customHeight="1" s="54"/>
    <row r="929" ht="15.75" customHeight="1" s="54"/>
    <row r="930" ht="15.75" customHeight="1" s="54"/>
    <row r="931" ht="15.75" customHeight="1" s="54"/>
    <row r="932" ht="15.75" customHeight="1" s="54"/>
    <row r="933" ht="15.75" customHeight="1" s="54"/>
    <row r="934" ht="15.75" customHeight="1" s="54"/>
    <row r="935" ht="15.75" customHeight="1" s="54"/>
    <row r="936" ht="15.75" customHeight="1" s="54"/>
    <row r="937" ht="15.75" customHeight="1" s="54"/>
    <row r="938" ht="15.75" customHeight="1" s="54"/>
    <row r="939" ht="15.75" customHeight="1" s="54"/>
    <row r="940" ht="15.75" customHeight="1" s="54"/>
    <row r="941" ht="15.75" customHeight="1" s="54"/>
    <row r="942" ht="15.75" customHeight="1" s="54"/>
    <row r="943" ht="15.75" customHeight="1" s="54"/>
    <row r="944" ht="15.75" customHeight="1" s="54"/>
    <row r="945" ht="15.75" customHeight="1" s="54"/>
    <row r="946" ht="15.75" customHeight="1" s="54"/>
    <row r="947" ht="15.75" customHeight="1" s="54"/>
    <row r="948" ht="15.75" customHeight="1" s="54"/>
    <row r="949" ht="15.75" customHeight="1" s="54"/>
    <row r="950" ht="15.75" customHeight="1" s="54"/>
    <row r="951" ht="15.75" customHeight="1" s="54"/>
    <row r="952" ht="15.75" customHeight="1" s="54"/>
    <row r="953" ht="15.75" customHeight="1" s="54"/>
    <row r="954" ht="15.75" customHeight="1" s="54"/>
    <row r="955" ht="15.75" customHeight="1" s="54"/>
    <row r="956" ht="15.75" customHeight="1" s="54"/>
    <row r="957" ht="15.75" customHeight="1" s="54"/>
    <row r="958" ht="15.75" customHeight="1" s="54"/>
    <row r="959" ht="15.75" customHeight="1" s="54"/>
    <row r="960" ht="15.75" customHeight="1" s="54"/>
    <row r="961" ht="15.75" customHeight="1" s="54"/>
    <row r="962" ht="15.75" customHeight="1" s="54"/>
    <row r="963" ht="15.75" customHeight="1" s="54"/>
    <row r="964" ht="15.75" customHeight="1" s="54"/>
    <row r="965" ht="15.75" customHeight="1" s="54"/>
    <row r="966" ht="15.75" customHeight="1" s="54"/>
    <row r="967" ht="15.75" customHeight="1" s="54"/>
    <row r="968" ht="15.75" customHeight="1" s="54"/>
    <row r="969" ht="15.75" customHeight="1" s="54"/>
    <row r="970" ht="15.75" customHeight="1" s="54"/>
    <row r="971" ht="15.75" customHeight="1" s="54"/>
    <row r="972" ht="15.75" customHeight="1" s="54"/>
    <row r="973" ht="15.75" customHeight="1" s="54"/>
    <row r="974" ht="15.75" customHeight="1" s="54"/>
    <row r="975" ht="15.75" customHeight="1" s="54"/>
    <row r="976" ht="15.75" customHeight="1" s="54"/>
    <row r="977" ht="15.75" customHeight="1" s="54"/>
    <row r="978" ht="15.75" customHeight="1" s="54"/>
    <row r="979" ht="15.75" customHeight="1" s="54"/>
    <row r="980" ht="15.75" customHeight="1" s="54"/>
    <row r="981" ht="15.75" customHeight="1" s="54"/>
    <row r="982" ht="15.75" customHeight="1" s="54"/>
    <row r="983" ht="15.75" customHeight="1" s="54"/>
    <row r="984" ht="15.75" customHeight="1" s="54"/>
    <row r="985" ht="15.75" customHeight="1" s="54"/>
    <row r="986" ht="15.75" customHeight="1" s="54"/>
    <row r="987" ht="15.75" customHeight="1" s="54"/>
    <row r="988" ht="15.75" customHeight="1" s="54"/>
    <row r="989" ht="15.75" customHeight="1" s="54"/>
    <row r="990" ht="15.75" customHeight="1" s="54"/>
    <row r="991" ht="15.75" customHeight="1" s="54"/>
    <row r="992" ht="15.75" customHeight="1" s="54"/>
    <row r="993" ht="15.75" customHeight="1" s="54"/>
    <row r="994" ht="15.75" customHeight="1" s="54"/>
    <row r="995" ht="15.75" customHeight="1" s="54"/>
    <row r="996" ht="15.75" customHeight="1" s="54"/>
    <row r="997" ht="15.75" customHeight="1" s="54"/>
    <row r="998" ht="15.75" customHeight="1" s="54"/>
    <row r="999" ht="15.75" customHeight="1" s="54"/>
    <row r="1000" ht="15.75" customHeight="1" s="54"/>
  </sheetData>
  <mergeCells count="19">
    <mergeCell ref="A5:D5"/>
    <mergeCell ref="A4:D4"/>
    <mergeCell ref="A28:D28"/>
    <mergeCell ref="C10:D10"/>
    <mergeCell ref="C16:D16"/>
    <mergeCell ref="A15:D15"/>
    <mergeCell ref="C9:D9"/>
    <mergeCell ref="A1:D1"/>
    <mergeCell ref="C12:D12"/>
    <mergeCell ref="C11:D11"/>
    <mergeCell ref="A7:D7"/>
    <mergeCell ref="C17:D17"/>
    <mergeCell ref="A46:D46"/>
    <mergeCell ref="C8:D8"/>
    <mergeCell ref="C19:D19"/>
    <mergeCell ref="A21:D21"/>
    <mergeCell ref="C13:D13"/>
    <mergeCell ref="A2:D2"/>
    <mergeCell ref="C18:D18"/>
  </mergeCells>
  <pageMargins left="0.75" right="0.75" top="1" bottom="1" header="0" footer="0"/>
  <pageSetup orientation="landscape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5"/>
  <sheetViews>
    <sheetView showGridLines="0" workbookViewId="0">
      <selection activeCell="A1" sqref="A1"/>
    </sheetView>
  </sheetViews>
  <sheetFormatPr baseColWidth="8" defaultColWidth="14.453125" defaultRowHeight="15" customHeight="1"/>
  <cols>
    <col width="6" customWidth="1" style="54" min="1" max="1"/>
    <col width="8" customWidth="1" style="54" min="2" max="2"/>
    <col width="28" customWidth="1" style="54" min="3" max="3"/>
    <col width="22" customWidth="1" style="54" min="4" max="4"/>
    <col width="20" customWidth="1" style="54" min="5" max="5"/>
    <col width="16" customWidth="1" style="54" min="6" max="6"/>
    <col width="20" customWidth="1" style="54" min="7" max="8"/>
    <col width="8.7265625" customWidth="1" style="54" min="9" max="26"/>
  </cols>
  <sheetData>
    <row r="1" ht="31.5" customHeight="1" s="54">
      <c r="A1" s="81" t="inlineStr">
        <is>
          <t>Usability Evaluation — Participant Profiles (10 February 2026)</t>
        </is>
      </c>
    </row>
    <row r="2" ht="19.5" customHeight="1" s="54">
      <c r="A2" s="22" t="inlineStr">
        <is>
          <t>#</t>
        </is>
      </c>
      <c r="B2" s="22" t="inlineStr">
        <is>
          <t>ID</t>
        </is>
      </c>
      <c r="C2" s="22" t="inlineStr">
        <is>
          <t>Role</t>
        </is>
      </c>
      <c r="D2" s="22" t="inlineStr">
        <is>
          <t>Industrial Park / SEZ</t>
        </is>
      </c>
      <c r="E2" s="22" t="inlineStr">
        <is>
          <t>Device Used</t>
        </is>
      </c>
      <c r="F2" s="22" t="inlineStr">
        <is>
          <t>Date</t>
        </is>
      </c>
      <c r="G2" s="22" t="inlineStr">
        <is>
          <t>Investment Type *</t>
        </is>
      </c>
      <c r="H2" s="22" t="inlineStr">
        <is>
          <t>Industry Sector *</t>
        </is>
      </c>
    </row>
    <row r="3" ht="18" customHeight="1" s="54">
      <c r="A3" s="23" t="n">
        <v>1</v>
      </c>
      <c r="B3" s="23" t="inlineStr">
        <is>
          <t>P1</t>
        </is>
      </c>
      <c r="C3" s="23" t="inlineStr">
        <is>
          <t>IPDC Management Staff</t>
        </is>
      </c>
      <c r="D3" s="23" t="inlineStr">
        <is>
          <t>Headquarters</t>
        </is>
      </c>
      <c r="E3" s="23" t="inlineStr">
        <is>
          <t>Smartphone (Chrome)</t>
        </is>
      </c>
      <c r="F3" s="23" t="inlineStr">
        <is>
          <t>09 Mar 2026</t>
        </is>
      </c>
      <c r="G3" s="23" t="inlineStr">
        <is>
          <t>—</t>
        </is>
      </c>
      <c r="H3" s="23" t="inlineStr">
        <is>
          <t>—</t>
        </is>
      </c>
    </row>
    <row r="4" ht="18" customHeight="1" s="54">
      <c r="A4" s="24" t="n">
        <v>2</v>
      </c>
      <c r="B4" s="24" t="inlineStr">
        <is>
          <t>P2</t>
        </is>
      </c>
      <c r="C4" s="24" t="inlineStr">
        <is>
          <t>Tenant Representative</t>
        </is>
      </c>
      <c r="D4" s="24" t="inlineStr">
        <is>
          <t>Headquarters</t>
        </is>
      </c>
      <c r="E4" s="24" t="inlineStr">
        <is>
          <t>Desktop Computer ( Opera)</t>
        </is>
      </c>
      <c r="F4" s="24" t="inlineStr">
        <is>
          <t>16 Mar 2026</t>
        </is>
      </c>
      <c r="G4" s="24" t="inlineStr">
        <is>
          <t>Foreign-invested</t>
        </is>
      </c>
      <c r="H4" s="24" t="inlineStr">
        <is>
          <t>Other</t>
        </is>
      </c>
    </row>
    <row r="5" ht="18" customHeight="1" s="54">
      <c r="A5" s="23" t="n">
        <v>3</v>
      </c>
      <c r="B5" s="23" t="inlineStr">
        <is>
          <t>P3</t>
        </is>
      </c>
      <c r="C5" s="23" t="inlineStr">
        <is>
          <t>IPDC Management Staff</t>
        </is>
      </c>
      <c r="D5" s="23" t="inlineStr">
        <is>
          <t>Headquarters</t>
        </is>
      </c>
      <c r="E5" s="23" t="inlineStr">
        <is>
          <t>Laptop (Chrome)</t>
        </is>
      </c>
      <c r="F5" s="23" t="inlineStr">
        <is>
          <t>18 Mar 2026</t>
        </is>
      </c>
      <c r="G5" s="23" t="inlineStr">
        <is>
          <t>—</t>
        </is>
      </c>
      <c r="H5" s="23" t="inlineStr">
        <is>
          <t>—</t>
        </is>
      </c>
    </row>
    <row r="6" ht="18" customHeight="1" s="54">
      <c r="A6" s="24" t="n">
        <v>4</v>
      </c>
      <c r="B6" s="24" t="inlineStr">
        <is>
          <t>P4</t>
        </is>
      </c>
      <c r="C6" s="24" t="inlineStr">
        <is>
          <t>Operations Staff</t>
        </is>
      </c>
      <c r="D6" s="24" t="inlineStr">
        <is>
          <t>Headquarters</t>
        </is>
      </c>
      <c r="E6" s="24" t="inlineStr">
        <is>
          <t>Laptop (Chrome)</t>
        </is>
      </c>
      <c r="F6" s="24" t="inlineStr">
        <is>
          <t>18 Mar 2026</t>
        </is>
      </c>
      <c r="G6" s="24" t="inlineStr">
        <is>
          <t>—</t>
        </is>
      </c>
      <c r="H6" s="24" t="inlineStr">
        <is>
          <t>—</t>
        </is>
      </c>
    </row>
    <row r="7" ht="18" customHeight="1" s="54">
      <c r="A7" s="23" t="n">
        <v>5</v>
      </c>
      <c r="B7" s="23" t="inlineStr">
        <is>
          <t>P5</t>
        </is>
      </c>
      <c r="C7" s="23" t="inlineStr">
        <is>
          <t>IPDC Management Staff</t>
        </is>
      </c>
      <c r="D7" s="23" t="inlineStr">
        <is>
          <t>Headquarters</t>
        </is>
      </c>
      <c r="E7" s="23" t="inlineStr">
        <is>
          <t>Laptop (Chrome)</t>
        </is>
      </c>
      <c r="F7" s="23" t="inlineStr">
        <is>
          <t>18 Mar 2026</t>
        </is>
      </c>
      <c r="G7" s="23" t="inlineStr">
        <is>
          <t>—</t>
        </is>
      </c>
      <c r="H7" s="23" t="inlineStr">
        <is>
          <t>—</t>
        </is>
      </c>
    </row>
    <row r="8" ht="18" customHeight="1" s="54">
      <c r="A8" s="24" t="n">
        <v>6</v>
      </c>
      <c r="B8" s="24" t="inlineStr">
        <is>
          <t>P6</t>
        </is>
      </c>
      <c r="C8" s="24" t="inlineStr">
        <is>
          <t>Operations Staff</t>
        </is>
      </c>
      <c r="D8" s="24" t="inlineStr">
        <is>
          <t>Headquarters</t>
        </is>
      </c>
      <c r="E8" s="24" t="inlineStr">
        <is>
          <t>Laptop (Chrome)</t>
        </is>
      </c>
      <c r="F8" s="24" t="inlineStr">
        <is>
          <t>18 Mar 2026</t>
        </is>
      </c>
      <c r="G8" s="24" t="inlineStr">
        <is>
          <t>—</t>
        </is>
      </c>
      <c r="H8" s="24" t="inlineStr">
        <is>
          <t>—</t>
        </is>
      </c>
    </row>
    <row r="9" ht="18" customHeight="1" s="54">
      <c r="A9" s="23" t="n">
        <v>7</v>
      </c>
      <c r="B9" s="23" t="inlineStr">
        <is>
          <t>P7</t>
        </is>
      </c>
      <c r="C9" s="23" t="inlineStr">
        <is>
          <t>Operations Staff</t>
        </is>
      </c>
      <c r="D9" s="23" t="inlineStr">
        <is>
          <t>Headquarters</t>
        </is>
      </c>
      <c r="E9" s="23" t="inlineStr">
        <is>
          <t>Laptop (Chrome)</t>
        </is>
      </c>
      <c r="F9" s="23" t="inlineStr">
        <is>
          <t>18 Mar 2026</t>
        </is>
      </c>
      <c r="G9" s="23" t="inlineStr">
        <is>
          <t>—</t>
        </is>
      </c>
      <c r="H9" s="23" t="inlineStr">
        <is>
          <t>—</t>
        </is>
      </c>
    </row>
    <row r="10" ht="18" customHeight="1" s="54">
      <c r="A10" s="24" t="n">
        <v>8</v>
      </c>
      <c r="B10" s="24" t="inlineStr">
        <is>
          <t>P8</t>
        </is>
      </c>
      <c r="C10" s="24" t="inlineStr">
        <is>
          <t>Operations Staff</t>
        </is>
      </c>
      <c r="D10" s="24" t="inlineStr">
        <is>
          <t>Headquarters</t>
        </is>
      </c>
      <c r="E10" s="24" t="inlineStr">
        <is>
          <t>Desktop Computer (Chrome)</t>
        </is>
      </c>
      <c r="F10" s="24" t="inlineStr">
        <is>
          <t>18 Mar 2026</t>
        </is>
      </c>
      <c r="G10" s="24" t="inlineStr">
        <is>
          <t>—</t>
        </is>
      </c>
      <c r="H10" s="24" t="inlineStr">
        <is>
          <t>—</t>
        </is>
      </c>
    </row>
    <row r="11" ht="18" customHeight="1" s="54">
      <c r="A11" s="23" t="n">
        <v>9</v>
      </c>
      <c r="B11" s="23" t="inlineStr">
        <is>
          <t>P9</t>
        </is>
      </c>
      <c r="C11" s="23" t="inlineStr">
        <is>
          <t>Tenant Representative</t>
        </is>
      </c>
      <c r="D11" s="23" t="inlineStr">
        <is>
          <t>Kilinto SEZ</t>
        </is>
      </c>
      <c r="E11" s="23" t="inlineStr">
        <is>
          <t>Smartphone (Opera)</t>
        </is>
      </c>
      <c r="F11" s="23" t="inlineStr">
        <is>
          <t>18 Mar 2026</t>
        </is>
      </c>
      <c r="G11" s="23" t="inlineStr">
        <is>
          <t>Local (Ethiopian)</t>
        </is>
      </c>
      <c r="H11" s="23" t="inlineStr">
        <is>
          <t>Pharmaceuticals</t>
        </is>
      </c>
    </row>
    <row r="12">
      <c r="A12" s="23" t="n">
        <v>10</v>
      </c>
      <c r="B12" s="23" t="inlineStr">
        <is>
          <t>P10</t>
        </is>
      </c>
      <c r="C12" s="23" t="inlineStr">
        <is>
          <t>Operations Staff</t>
        </is>
      </c>
      <c r="D12" s="23" t="inlineStr">
        <is>
          <t>Headquarters</t>
        </is>
      </c>
      <c r="E12" s="23" t="inlineStr">
        <is>
          <t>Laptop (Chrome)</t>
        </is>
      </c>
      <c r="F12" s="23" t="inlineStr">
        <is>
          <t>18 Mar 2026</t>
        </is>
      </c>
      <c r="G12" s="23" t="inlineStr">
        <is>
          <t>—</t>
        </is>
      </c>
      <c r="H12" s="23" t="inlineStr">
        <is>
          <t>—</t>
        </is>
      </c>
    </row>
    <row r="13" ht="14.5" customHeight="1" s="54">
      <c r="A13" s="23" t="n">
        <v>11</v>
      </c>
      <c r="B13" s="23" t="inlineStr">
        <is>
          <t>P11</t>
        </is>
      </c>
      <c r="C13" s="23" t="inlineStr">
        <is>
          <t>Operations Staff</t>
        </is>
      </c>
      <c r="D13" s="23" t="inlineStr">
        <is>
          <t>Headquarters</t>
        </is>
      </c>
      <c r="E13" s="23" t="inlineStr">
        <is>
          <t>Laptop (Chrome)</t>
        </is>
      </c>
      <c r="F13" s="23" t="inlineStr">
        <is>
          <t>18 Mar 2026</t>
        </is>
      </c>
      <c r="G13" s="23" t="inlineStr">
        <is>
          <t>—</t>
        </is>
      </c>
      <c r="H13" s="23" t="inlineStr">
        <is>
          <t>—</t>
        </is>
      </c>
    </row>
    <row r="14">
      <c r="A14" s="23" t="n">
        <v>12</v>
      </c>
      <c r="B14" s="23" t="inlineStr">
        <is>
          <t>P12</t>
        </is>
      </c>
      <c r="C14" s="23" t="inlineStr">
        <is>
          <t>Tenant Representative</t>
        </is>
      </c>
      <c r="D14" s="23" t="inlineStr">
        <is>
          <t>Kilinto SEZ</t>
        </is>
      </c>
      <c r="E14" s="23" t="inlineStr">
        <is>
          <t>Smartphone (Chrome)</t>
        </is>
      </c>
      <c r="F14" s="23" t="inlineStr">
        <is>
          <t>22 Mar 2026</t>
        </is>
      </c>
      <c r="G14" s="23" t="inlineStr">
        <is>
          <t>Foreign-invested</t>
        </is>
      </c>
      <c r="H14" s="23" t="inlineStr">
        <is>
          <t>Pharmaceuticals</t>
        </is>
      </c>
    </row>
    <row r="15">
      <c r="A15" t="inlineStr">
        <is>
          <t>Note: Participant IDs (P1–P12) are pseudonymised. * Investment Type and Sector apply to Tenant Representatives only. Signed consent forms are held by the researcher and available on request.</t>
        </is>
      </c>
    </row>
    <row r="21" ht="15.75" customHeight="1" s="54"/>
    <row r="22" ht="15.75" customHeight="1" s="54"/>
    <row r="23" ht="15.75" customHeight="1" s="54"/>
    <row r="24" ht="15.75" customHeight="1" s="54"/>
    <row r="25" ht="15.75" customHeight="1" s="54"/>
    <row r="26" ht="15.75" customHeight="1" s="54"/>
    <row r="27" ht="15.75" customHeight="1" s="54"/>
    <row r="28" ht="15.75" customHeight="1" s="54"/>
    <row r="29" ht="15.75" customHeight="1" s="54"/>
    <row r="30" ht="15.75" customHeight="1" s="54"/>
    <row r="31" ht="15.75" customHeight="1" s="54"/>
    <row r="32" ht="15.75" customHeight="1" s="54"/>
    <row r="33" ht="15.75" customHeight="1" s="54"/>
    <row r="34" ht="15.75" customHeight="1" s="54"/>
    <row r="35" ht="15.75" customHeight="1" s="54"/>
    <row r="36" ht="15.75" customHeight="1" s="54"/>
    <row r="37" ht="15.75" customHeight="1" s="54"/>
    <row r="38" ht="15.75" customHeight="1" s="54"/>
    <row r="39" ht="15.75" customHeight="1" s="54"/>
    <row r="40" ht="15.75" customHeight="1" s="54"/>
    <row r="41" ht="15.75" customHeight="1" s="54"/>
    <row r="42" ht="15.75" customHeight="1" s="54"/>
    <row r="43" ht="15.75" customHeight="1" s="54"/>
    <row r="44" ht="15.75" customHeight="1" s="54"/>
    <row r="45" ht="15.75" customHeight="1" s="54"/>
    <row r="46" ht="15.75" customHeight="1" s="54"/>
    <row r="47" ht="15.75" customHeight="1" s="54"/>
    <row r="48" ht="15.75" customHeight="1" s="54"/>
    <row r="49" ht="15.75" customHeight="1" s="54"/>
    <row r="50" ht="15.75" customHeight="1" s="54"/>
    <row r="51" ht="15.75" customHeight="1" s="54"/>
    <row r="52" ht="15.75" customHeight="1" s="54"/>
    <row r="53" ht="15.75" customHeight="1" s="54"/>
    <row r="54" ht="15.75" customHeight="1" s="54"/>
    <row r="55" ht="15.75" customHeight="1" s="54"/>
    <row r="56" ht="15.75" customHeight="1" s="54"/>
    <row r="57" ht="15.75" customHeight="1" s="54"/>
    <row r="58" ht="15.75" customHeight="1" s="54"/>
    <row r="59" ht="15.75" customHeight="1" s="54"/>
    <row r="60" ht="15.75" customHeight="1" s="54"/>
    <row r="61" ht="15.75" customHeight="1" s="54"/>
    <row r="62" ht="15.75" customHeight="1" s="54"/>
    <row r="63" ht="15.75" customHeight="1" s="54"/>
    <row r="64" ht="15.75" customHeight="1" s="54"/>
    <row r="65" ht="15.75" customHeight="1" s="54"/>
    <row r="66" ht="15.75" customHeight="1" s="54"/>
    <row r="67" ht="15.75" customHeight="1" s="54"/>
    <row r="68" ht="15.75" customHeight="1" s="54"/>
    <row r="69" ht="15.75" customHeight="1" s="54"/>
    <row r="70" ht="15.75" customHeight="1" s="54"/>
    <row r="71" ht="15.75" customHeight="1" s="54"/>
    <row r="72" ht="15.75" customHeight="1" s="54"/>
    <row r="73" ht="15.75" customHeight="1" s="54"/>
    <row r="74" ht="15.75" customHeight="1" s="54"/>
    <row r="75" ht="15.75" customHeight="1" s="54"/>
    <row r="76" ht="15.75" customHeight="1" s="54"/>
    <row r="77" ht="15.75" customHeight="1" s="54"/>
    <row r="78" ht="15.75" customHeight="1" s="54"/>
    <row r="79" ht="15.75" customHeight="1" s="54"/>
    <row r="80" ht="15.75" customHeight="1" s="54"/>
    <row r="81" ht="15.75" customHeight="1" s="54"/>
    <row r="82" ht="15.75" customHeight="1" s="54"/>
    <row r="83" ht="15.75" customHeight="1" s="54"/>
    <row r="84" ht="15.75" customHeight="1" s="54"/>
    <row r="85" ht="15.75" customHeight="1" s="54"/>
    <row r="86" ht="15.75" customHeight="1" s="54"/>
    <row r="87" ht="15.75" customHeight="1" s="54"/>
    <row r="88" ht="15.75" customHeight="1" s="54"/>
    <row r="89" ht="15.75" customHeight="1" s="54"/>
    <row r="90" ht="15.75" customHeight="1" s="54"/>
    <row r="91" ht="15.75" customHeight="1" s="54"/>
    <row r="92" ht="15.75" customHeight="1" s="54"/>
    <row r="93" ht="15.75" customHeight="1" s="54"/>
    <row r="94" ht="15.75" customHeight="1" s="54"/>
    <row r="95" ht="15.75" customHeight="1" s="54"/>
    <row r="96" ht="15.75" customHeight="1" s="54"/>
    <row r="97" ht="15.75" customHeight="1" s="54"/>
    <row r="98" ht="15.75" customHeight="1" s="54"/>
    <row r="99" ht="15.75" customHeight="1" s="54"/>
    <row r="100" ht="15.75" customHeight="1" s="54"/>
    <row r="101" ht="15.75" customHeight="1" s="54"/>
    <row r="102" ht="15.75" customHeight="1" s="54"/>
    <row r="103" ht="15.75" customHeight="1" s="54"/>
    <row r="104" ht="15.75" customHeight="1" s="54"/>
    <row r="105" ht="15.75" customHeight="1" s="54"/>
    <row r="106" ht="15.75" customHeight="1" s="54"/>
    <row r="107" ht="15.75" customHeight="1" s="54"/>
    <row r="108" ht="15.75" customHeight="1" s="54"/>
    <row r="109" ht="15.75" customHeight="1" s="54"/>
    <row r="110" ht="15.75" customHeight="1" s="54"/>
    <row r="111" ht="15.75" customHeight="1" s="54"/>
    <row r="112" ht="15.75" customHeight="1" s="54"/>
    <row r="113" ht="15.75" customHeight="1" s="54"/>
    <row r="114" ht="15.75" customHeight="1" s="54"/>
    <row r="115" ht="15.75" customHeight="1" s="54"/>
    <row r="116" ht="15.75" customHeight="1" s="54"/>
    <row r="117" ht="15.75" customHeight="1" s="54"/>
    <row r="118" ht="15.75" customHeight="1" s="54"/>
    <row r="119" ht="15.75" customHeight="1" s="54"/>
    <row r="120" ht="15.75" customHeight="1" s="54"/>
    <row r="121" ht="15.75" customHeight="1" s="54"/>
    <row r="122" ht="15.75" customHeight="1" s="54"/>
    <row r="123" ht="15.75" customHeight="1" s="54"/>
    <row r="124" ht="15.75" customHeight="1" s="54"/>
    <row r="125" ht="15.75" customHeight="1" s="54"/>
    <row r="126" ht="15.75" customHeight="1" s="54"/>
    <row r="127" ht="15.75" customHeight="1" s="54"/>
    <row r="128" ht="15.75" customHeight="1" s="54"/>
    <row r="129" ht="15.75" customHeight="1" s="54"/>
    <row r="130" ht="15.75" customHeight="1" s="54"/>
    <row r="131" ht="15.75" customHeight="1" s="54"/>
    <row r="132" ht="15.75" customHeight="1" s="54"/>
    <row r="133" ht="15.75" customHeight="1" s="54"/>
    <row r="134" ht="15.75" customHeight="1" s="54"/>
    <row r="135" ht="15.75" customHeight="1" s="54"/>
    <row r="136" ht="15.75" customHeight="1" s="54"/>
    <row r="137" ht="15.75" customHeight="1" s="54"/>
    <row r="138" ht="15.75" customHeight="1" s="54"/>
    <row r="139" ht="15.75" customHeight="1" s="54"/>
    <row r="140" ht="15.75" customHeight="1" s="54"/>
    <row r="141" ht="15.75" customHeight="1" s="54"/>
    <row r="142" ht="15.75" customHeight="1" s="54"/>
    <row r="143" ht="15.75" customHeight="1" s="54"/>
    <row r="144" ht="15.75" customHeight="1" s="54"/>
    <row r="145" ht="15.75" customHeight="1" s="54"/>
    <row r="146" ht="15.75" customHeight="1" s="54"/>
    <row r="147" ht="15.75" customHeight="1" s="54"/>
    <row r="148" ht="15.75" customHeight="1" s="54"/>
    <row r="149" ht="15.75" customHeight="1" s="54"/>
    <row r="150" ht="15.75" customHeight="1" s="54"/>
    <row r="151" ht="15.75" customHeight="1" s="54"/>
    <row r="152" ht="15.75" customHeight="1" s="54"/>
    <row r="153" ht="15.75" customHeight="1" s="54"/>
    <row r="154" ht="15.75" customHeight="1" s="54"/>
    <row r="155" ht="15.75" customHeight="1" s="54"/>
    <row r="156" ht="15.75" customHeight="1" s="54"/>
    <row r="157" ht="15.75" customHeight="1" s="54"/>
    <row r="158" ht="15.75" customHeight="1" s="54"/>
    <row r="159" ht="15.75" customHeight="1" s="54"/>
    <row r="160" ht="15.75" customHeight="1" s="54"/>
    <row r="161" ht="15.75" customHeight="1" s="54"/>
    <row r="162" ht="15.75" customHeight="1" s="54"/>
    <row r="163" ht="15.75" customHeight="1" s="54"/>
    <row r="164" ht="15.75" customHeight="1" s="54"/>
    <row r="165" ht="15.75" customHeight="1" s="54"/>
    <row r="166" ht="15.75" customHeight="1" s="54"/>
    <row r="167" ht="15.75" customHeight="1" s="54"/>
    <row r="168" ht="15.75" customHeight="1" s="54"/>
    <row r="169" ht="15.75" customHeight="1" s="54"/>
    <row r="170" ht="15.75" customHeight="1" s="54"/>
    <row r="171" ht="15.75" customHeight="1" s="54"/>
    <row r="172" ht="15.75" customHeight="1" s="54"/>
    <row r="173" ht="15.75" customHeight="1" s="54"/>
    <row r="174" ht="15.75" customHeight="1" s="54"/>
    <row r="175" ht="15.75" customHeight="1" s="54"/>
    <row r="176" ht="15.75" customHeight="1" s="54"/>
    <row r="177" ht="15.75" customHeight="1" s="54"/>
    <row r="178" ht="15.75" customHeight="1" s="54"/>
    <row r="179" ht="15.75" customHeight="1" s="54"/>
    <row r="180" ht="15.75" customHeight="1" s="54"/>
    <row r="181" ht="15.75" customHeight="1" s="54"/>
    <row r="182" ht="15.75" customHeight="1" s="54"/>
    <row r="183" ht="15.75" customHeight="1" s="54"/>
    <row r="184" ht="15.75" customHeight="1" s="54"/>
    <row r="185" ht="15.75" customHeight="1" s="54"/>
    <row r="186" ht="15.75" customHeight="1" s="54"/>
    <row r="187" ht="15.75" customHeight="1" s="54"/>
    <row r="188" ht="15.75" customHeight="1" s="54"/>
    <row r="189" ht="15.75" customHeight="1" s="54"/>
    <row r="190" ht="15.75" customHeight="1" s="54"/>
    <row r="191" ht="15.75" customHeight="1" s="54"/>
    <row r="192" ht="15.75" customHeight="1" s="54"/>
    <row r="193" ht="15.75" customHeight="1" s="54"/>
    <row r="194" ht="15.75" customHeight="1" s="54"/>
    <row r="195" ht="15.75" customHeight="1" s="54"/>
    <row r="196" ht="15.75" customHeight="1" s="54"/>
    <row r="197" ht="15.75" customHeight="1" s="54"/>
    <row r="198" ht="15.75" customHeight="1" s="54"/>
    <row r="199" ht="15.75" customHeight="1" s="54"/>
    <row r="200" ht="15.75" customHeight="1" s="54"/>
    <row r="201" ht="15.75" customHeight="1" s="54"/>
    <row r="202" ht="15.75" customHeight="1" s="54"/>
    <row r="203" ht="15.75" customHeight="1" s="54"/>
    <row r="204" ht="15.75" customHeight="1" s="54"/>
    <row r="205" ht="15.75" customHeight="1" s="54"/>
    <row r="206" ht="15.75" customHeight="1" s="54"/>
    <row r="207" ht="15.75" customHeight="1" s="54"/>
    <row r="208" ht="15.75" customHeight="1" s="54"/>
    <row r="209" ht="15.75" customHeight="1" s="54"/>
    <row r="210" ht="15.75" customHeight="1" s="54"/>
    <row r="211" ht="15.75" customHeight="1" s="54"/>
    <row r="212" ht="15.75" customHeight="1" s="54"/>
    <row r="213" ht="15.75" customHeight="1" s="54"/>
    <row r="214" ht="15.75" customHeight="1" s="54"/>
    <row r="215" ht="15.75" customHeight="1" s="54"/>
    <row r="216" ht="15.75" customHeight="1" s="54"/>
    <row r="217" ht="15.75" customHeight="1" s="54"/>
    <row r="218" ht="15.75" customHeight="1" s="54"/>
    <row r="219" ht="15.75" customHeight="1" s="54"/>
    <row r="220" ht="15.75" customHeight="1" s="54"/>
    <row r="221" ht="15.75" customHeight="1" s="54"/>
    <row r="222" ht="15.75" customHeight="1" s="54"/>
    <row r="223" ht="15.75" customHeight="1" s="54"/>
    <row r="224" ht="15.75" customHeight="1" s="54"/>
    <row r="225" ht="15.75" customHeight="1" s="54"/>
    <row r="226" ht="15.75" customHeight="1" s="54"/>
    <row r="227" ht="15.75" customHeight="1" s="54"/>
    <row r="228" ht="15.75" customHeight="1" s="54"/>
    <row r="229" ht="15.75" customHeight="1" s="54"/>
    <row r="230" ht="15.75" customHeight="1" s="54"/>
    <row r="231" ht="15.75" customHeight="1" s="54"/>
    <row r="232" ht="15.75" customHeight="1" s="54"/>
    <row r="233" ht="15.75" customHeight="1" s="54"/>
    <row r="234" ht="15.75" customHeight="1" s="54"/>
    <row r="235" ht="15.75" customHeight="1" s="54"/>
    <row r="236" ht="15.75" customHeight="1" s="54"/>
    <row r="237" ht="15.75" customHeight="1" s="54"/>
    <row r="238" ht="15.75" customHeight="1" s="54"/>
    <row r="239" ht="15.75" customHeight="1" s="54"/>
    <row r="240" ht="15.75" customHeight="1" s="54"/>
    <row r="241" ht="15.75" customHeight="1" s="54"/>
    <row r="242" ht="15.75" customHeight="1" s="54"/>
    <row r="243" ht="15.75" customHeight="1" s="54"/>
    <row r="244" ht="15.75" customHeight="1" s="54"/>
    <row r="245" ht="15.75" customHeight="1" s="54"/>
    <row r="246" ht="15.75" customHeight="1" s="54"/>
    <row r="247" ht="15.75" customHeight="1" s="54"/>
    <row r="248" ht="15.75" customHeight="1" s="54"/>
    <row r="249" ht="15.75" customHeight="1" s="54"/>
    <row r="250" ht="15.75" customHeight="1" s="54"/>
    <row r="251" ht="15.75" customHeight="1" s="54"/>
    <row r="252" ht="15.75" customHeight="1" s="54"/>
    <row r="253" ht="15.75" customHeight="1" s="54"/>
    <row r="254" ht="15.75" customHeight="1" s="54"/>
    <row r="255" ht="15.75" customHeight="1" s="54"/>
    <row r="256" ht="15.75" customHeight="1" s="54"/>
    <row r="257" ht="15.75" customHeight="1" s="54"/>
    <row r="258" ht="15.75" customHeight="1" s="54"/>
    <row r="259" ht="15.75" customHeight="1" s="54"/>
    <row r="260" ht="15.75" customHeight="1" s="54"/>
    <row r="261" ht="15.75" customHeight="1" s="54"/>
    <row r="262" ht="15.75" customHeight="1" s="54"/>
    <row r="263" ht="15.75" customHeight="1" s="54"/>
    <row r="264" ht="15.75" customHeight="1" s="54"/>
    <row r="265" ht="15.75" customHeight="1" s="54"/>
    <row r="266" ht="15.75" customHeight="1" s="54"/>
    <row r="267" ht="15.75" customHeight="1" s="54"/>
    <row r="268" ht="15.75" customHeight="1" s="54"/>
    <row r="269" ht="15.75" customHeight="1" s="54"/>
    <row r="270" ht="15.75" customHeight="1" s="54"/>
    <row r="271" ht="15.75" customHeight="1" s="54"/>
    <row r="272" ht="15.75" customHeight="1" s="54"/>
    <row r="273" ht="15.75" customHeight="1" s="54"/>
    <row r="274" ht="15.75" customHeight="1" s="54"/>
    <row r="275" ht="15.75" customHeight="1" s="54"/>
    <row r="276" ht="15.75" customHeight="1" s="54"/>
    <row r="277" ht="15.75" customHeight="1" s="54"/>
    <row r="278" ht="15.75" customHeight="1" s="54"/>
    <row r="279" ht="15.75" customHeight="1" s="54"/>
    <row r="280" ht="15.75" customHeight="1" s="54"/>
    <row r="281" ht="15.75" customHeight="1" s="54"/>
    <row r="282" ht="15.75" customHeight="1" s="54"/>
    <row r="283" ht="15.75" customHeight="1" s="54"/>
    <row r="284" ht="15.75" customHeight="1" s="54"/>
    <row r="285" ht="15.75" customHeight="1" s="54"/>
    <row r="286" ht="15.75" customHeight="1" s="54"/>
    <row r="287" ht="15.75" customHeight="1" s="54"/>
    <row r="288" ht="15.75" customHeight="1" s="54"/>
    <row r="289" ht="15.75" customHeight="1" s="54"/>
    <row r="290" ht="15.75" customHeight="1" s="54"/>
    <row r="291" ht="15.75" customHeight="1" s="54"/>
    <row r="292" ht="15.75" customHeight="1" s="54"/>
    <row r="293" ht="15.75" customHeight="1" s="54"/>
    <row r="294" ht="15.75" customHeight="1" s="54"/>
    <row r="295" ht="15.75" customHeight="1" s="54"/>
    <row r="296" ht="15.75" customHeight="1" s="54"/>
    <row r="297" ht="15.75" customHeight="1" s="54"/>
    <row r="298" ht="15.75" customHeight="1" s="54"/>
    <row r="299" ht="15.75" customHeight="1" s="54"/>
    <row r="300" ht="15.75" customHeight="1" s="54"/>
    <row r="301" ht="15.75" customHeight="1" s="54"/>
    <row r="302" ht="15.75" customHeight="1" s="54"/>
    <row r="303" ht="15.75" customHeight="1" s="54"/>
    <row r="304" ht="15.75" customHeight="1" s="54"/>
    <row r="305" ht="15.75" customHeight="1" s="54"/>
    <row r="306" ht="15.75" customHeight="1" s="54"/>
    <row r="307" ht="15.75" customHeight="1" s="54"/>
    <row r="308" ht="15.75" customHeight="1" s="54"/>
    <row r="309" ht="15.75" customHeight="1" s="54"/>
    <row r="310" ht="15.75" customHeight="1" s="54"/>
    <row r="311" ht="15.75" customHeight="1" s="54"/>
    <row r="312" ht="15.75" customHeight="1" s="54"/>
    <row r="313" ht="15.75" customHeight="1" s="54"/>
    <row r="314" ht="15.75" customHeight="1" s="54"/>
    <row r="315" ht="15.75" customHeight="1" s="54"/>
    <row r="316" ht="15.75" customHeight="1" s="54"/>
    <row r="317" ht="15.75" customHeight="1" s="54"/>
    <row r="318" ht="15.75" customHeight="1" s="54"/>
    <row r="319" ht="15.75" customHeight="1" s="54"/>
    <row r="320" ht="15.75" customHeight="1" s="54"/>
    <row r="321" ht="15.75" customHeight="1" s="54"/>
    <row r="322" ht="15.75" customHeight="1" s="54"/>
    <row r="323" ht="15.75" customHeight="1" s="54"/>
    <row r="324" ht="15.75" customHeight="1" s="54"/>
    <row r="325" ht="15.75" customHeight="1" s="54"/>
    <row r="326" ht="15.75" customHeight="1" s="54"/>
    <row r="327" ht="15.75" customHeight="1" s="54"/>
    <row r="328" ht="15.75" customHeight="1" s="54"/>
    <row r="329" ht="15.75" customHeight="1" s="54"/>
    <row r="330" ht="15.75" customHeight="1" s="54"/>
    <row r="331" ht="15.75" customHeight="1" s="54"/>
    <row r="332" ht="15.75" customHeight="1" s="54"/>
    <row r="333" ht="15.75" customHeight="1" s="54"/>
    <row r="334" ht="15.75" customHeight="1" s="54"/>
    <row r="335" ht="15.75" customHeight="1" s="54"/>
    <row r="336" ht="15.75" customHeight="1" s="54"/>
    <row r="337" ht="15.75" customHeight="1" s="54"/>
    <row r="338" ht="15.75" customHeight="1" s="54"/>
    <row r="339" ht="15.75" customHeight="1" s="54"/>
    <row r="340" ht="15.75" customHeight="1" s="54"/>
    <row r="341" ht="15.75" customHeight="1" s="54"/>
    <row r="342" ht="15.75" customHeight="1" s="54"/>
    <row r="343" ht="15.75" customHeight="1" s="54"/>
    <row r="344" ht="15.75" customHeight="1" s="54"/>
    <row r="345" ht="15.75" customHeight="1" s="54"/>
    <row r="346" ht="15.75" customHeight="1" s="54"/>
    <row r="347" ht="15.75" customHeight="1" s="54"/>
    <row r="348" ht="15.75" customHeight="1" s="54"/>
    <row r="349" ht="15.75" customHeight="1" s="54"/>
    <row r="350" ht="15.75" customHeight="1" s="54"/>
    <row r="351" ht="15.75" customHeight="1" s="54"/>
    <row r="352" ht="15.75" customHeight="1" s="54"/>
    <row r="353" ht="15.75" customHeight="1" s="54"/>
    <row r="354" ht="15.75" customHeight="1" s="54"/>
    <row r="355" ht="15.75" customHeight="1" s="54"/>
    <row r="356" ht="15.75" customHeight="1" s="54"/>
    <row r="357" ht="15.75" customHeight="1" s="54"/>
    <row r="358" ht="15.75" customHeight="1" s="54"/>
    <row r="359" ht="15.75" customHeight="1" s="54"/>
    <row r="360" ht="15.75" customHeight="1" s="54"/>
    <row r="361" ht="15.75" customHeight="1" s="54"/>
    <row r="362" ht="15.75" customHeight="1" s="54"/>
    <row r="363" ht="15.75" customHeight="1" s="54"/>
    <row r="364" ht="15.75" customHeight="1" s="54"/>
    <row r="365" ht="15.75" customHeight="1" s="54"/>
    <row r="366" ht="15.75" customHeight="1" s="54"/>
    <row r="367" ht="15.75" customHeight="1" s="54"/>
    <row r="368" ht="15.75" customHeight="1" s="54"/>
    <row r="369" ht="15.75" customHeight="1" s="54"/>
    <row r="370" ht="15.75" customHeight="1" s="54"/>
    <row r="371" ht="15.75" customHeight="1" s="54"/>
    <row r="372" ht="15.75" customHeight="1" s="54"/>
    <row r="373" ht="15.75" customHeight="1" s="54"/>
    <row r="374" ht="15.75" customHeight="1" s="54"/>
    <row r="375" ht="15.75" customHeight="1" s="54"/>
    <row r="376" ht="15.75" customHeight="1" s="54"/>
    <row r="377" ht="15.75" customHeight="1" s="54"/>
    <row r="378" ht="15.75" customHeight="1" s="54"/>
    <row r="379" ht="15.75" customHeight="1" s="54"/>
    <row r="380" ht="15.75" customHeight="1" s="54"/>
    <row r="381" ht="15.75" customHeight="1" s="54"/>
    <row r="382" ht="15.75" customHeight="1" s="54"/>
    <row r="383" ht="15.75" customHeight="1" s="54"/>
    <row r="384" ht="15.75" customHeight="1" s="54"/>
    <row r="385" ht="15.75" customHeight="1" s="54"/>
    <row r="386" ht="15.75" customHeight="1" s="54"/>
    <row r="387" ht="15.75" customHeight="1" s="54"/>
    <row r="388" ht="15.75" customHeight="1" s="54"/>
    <row r="389" ht="15.75" customHeight="1" s="54"/>
    <row r="390" ht="15.75" customHeight="1" s="54"/>
    <row r="391" ht="15.75" customHeight="1" s="54"/>
    <row r="392" ht="15.75" customHeight="1" s="54"/>
    <row r="393" ht="15.75" customHeight="1" s="54"/>
    <row r="394" ht="15.75" customHeight="1" s="54"/>
    <row r="395" ht="15.75" customHeight="1" s="54"/>
    <row r="396" ht="15.75" customHeight="1" s="54"/>
    <row r="397" ht="15.75" customHeight="1" s="54"/>
    <row r="398" ht="15.75" customHeight="1" s="54"/>
    <row r="399" ht="15.75" customHeight="1" s="54"/>
    <row r="400" ht="15.75" customHeight="1" s="54"/>
    <row r="401" ht="15.75" customHeight="1" s="54"/>
    <row r="402" ht="15.75" customHeight="1" s="54"/>
    <row r="403" ht="15.75" customHeight="1" s="54"/>
    <row r="404" ht="15.75" customHeight="1" s="54"/>
    <row r="405" ht="15.75" customHeight="1" s="54"/>
    <row r="406" ht="15.75" customHeight="1" s="54"/>
    <row r="407" ht="15.75" customHeight="1" s="54"/>
    <row r="408" ht="15.75" customHeight="1" s="54"/>
    <row r="409" ht="15.75" customHeight="1" s="54"/>
    <row r="410" ht="15.75" customHeight="1" s="54"/>
    <row r="411" ht="15.75" customHeight="1" s="54"/>
    <row r="412" ht="15.75" customHeight="1" s="54"/>
    <row r="413" ht="15.75" customHeight="1" s="54"/>
    <row r="414" ht="15.75" customHeight="1" s="54"/>
    <row r="415" ht="15.75" customHeight="1" s="54"/>
    <row r="416" ht="15.75" customHeight="1" s="54"/>
    <row r="417" ht="15.75" customHeight="1" s="54"/>
    <row r="418" ht="15.75" customHeight="1" s="54"/>
    <row r="419" ht="15.75" customHeight="1" s="54"/>
    <row r="420" ht="15.75" customHeight="1" s="54"/>
    <row r="421" ht="15.75" customHeight="1" s="54"/>
    <row r="422" ht="15.75" customHeight="1" s="54"/>
    <row r="423" ht="15.75" customHeight="1" s="54"/>
    <row r="424" ht="15.75" customHeight="1" s="54"/>
    <row r="425" ht="15.75" customHeight="1" s="54"/>
    <row r="426" ht="15.75" customHeight="1" s="54"/>
    <row r="427" ht="15.75" customHeight="1" s="54"/>
    <row r="428" ht="15.75" customHeight="1" s="54"/>
    <row r="429" ht="15.75" customHeight="1" s="54"/>
    <row r="430" ht="15.75" customHeight="1" s="54"/>
    <row r="431" ht="15.75" customHeight="1" s="54"/>
    <row r="432" ht="15.75" customHeight="1" s="54"/>
    <row r="433" ht="15.75" customHeight="1" s="54"/>
    <row r="434" ht="15.75" customHeight="1" s="54"/>
    <row r="435" ht="15.75" customHeight="1" s="54"/>
    <row r="436" ht="15.75" customHeight="1" s="54"/>
    <row r="437" ht="15.75" customHeight="1" s="54"/>
    <row r="438" ht="15.75" customHeight="1" s="54"/>
    <row r="439" ht="15.75" customHeight="1" s="54"/>
    <row r="440" ht="15.75" customHeight="1" s="54"/>
    <row r="441" ht="15.75" customHeight="1" s="54"/>
    <row r="442" ht="15.75" customHeight="1" s="54"/>
    <row r="443" ht="15.75" customHeight="1" s="54"/>
    <row r="444" ht="15.75" customHeight="1" s="54"/>
    <row r="445" ht="15.75" customHeight="1" s="54"/>
    <row r="446" ht="15.75" customHeight="1" s="54"/>
    <row r="447" ht="15.75" customHeight="1" s="54"/>
    <row r="448" ht="15.75" customHeight="1" s="54"/>
    <row r="449" ht="15.75" customHeight="1" s="54"/>
    <row r="450" ht="15.75" customHeight="1" s="54"/>
    <row r="451" ht="15.75" customHeight="1" s="54"/>
    <row r="452" ht="15.75" customHeight="1" s="54"/>
    <row r="453" ht="15.75" customHeight="1" s="54"/>
    <row r="454" ht="15.75" customHeight="1" s="54"/>
    <row r="455" ht="15.75" customHeight="1" s="54"/>
    <row r="456" ht="15.75" customHeight="1" s="54"/>
    <row r="457" ht="15.75" customHeight="1" s="54"/>
    <row r="458" ht="15.75" customHeight="1" s="54"/>
    <row r="459" ht="15.75" customHeight="1" s="54"/>
    <row r="460" ht="15.75" customHeight="1" s="54"/>
    <row r="461" ht="15.75" customHeight="1" s="54"/>
    <row r="462" ht="15.75" customHeight="1" s="54"/>
    <row r="463" ht="15.75" customHeight="1" s="54"/>
    <row r="464" ht="15.75" customHeight="1" s="54"/>
    <row r="465" ht="15.75" customHeight="1" s="54"/>
    <row r="466" ht="15.75" customHeight="1" s="54"/>
    <row r="467" ht="15.75" customHeight="1" s="54"/>
    <row r="468" ht="15.75" customHeight="1" s="54"/>
    <row r="469" ht="15.75" customHeight="1" s="54"/>
    <row r="470" ht="15.75" customHeight="1" s="54"/>
    <row r="471" ht="15.75" customHeight="1" s="54"/>
    <row r="472" ht="15.75" customHeight="1" s="54"/>
    <row r="473" ht="15.75" customHeight="1" s="54"/>
    <row r="474" ht="15.75" customHeight="1" s="54"/>
    <row r="475" ht="15.75" customHeight="1" s="54"/>
    <row r="476" ht="15.75" customHeight="1" s="54"/>
    <row r="477" ht="15.75" customHeight="1" s="54"/>
    <row r="478" ht="15.75" customHeight="1" s="54"/>
    <row r="479" ht="15.75" customHeight="1" s="54"/>
    <row r="480" ht="15.75" customHeight="1" s="54"/>
    <row r="481" ht="15.75" customHeight="1" s="54"/>
    <row r="482" ht="15.75" customHeight="1" s="54"/>
    <row r="483" ht="15.75" customHeight="1" s="54"/>
    <row r="484" ht="15.75" customHeight="1" s="54"/>
    <row r="485" ht="15.75" customHeight="1" s="54"/>
    <row r="486" ht="15.75" customHeight="1" s="54"/>
    <row r="487" ht="15.75" customHeight="1" s="54"/>
    <row r="488" ht="15.75" customHeight="1" s="54"/>
    <row r="489" ht="15.75" customHeight="1" s="54"/>
    <row r="490" ht="15.75" customHeight="1" s="54"/>
    <row r="491" ht="15.75" customHeight="1" s="54"/>
    <row r="492" ht="15.75" customHeight="1" s="54"/>
    <row r="493" ht="15.75" customHeight="1" s="54"/>
    <row r="494" ht="15.75" customHeight="1" s="54"/>
    <row r="495" ht="15.75" customHeight="1" s="54"/>
    <row r="496" ht="15.75" customHeight="1" s="54"/>
    <row r="497" ht="15.75" customHeight="1" s="54"/>
    <row r="498" ht="15.75" customHeight="1" s="54"/>
    <row r="499" ht="15.75" customHeight="1" s="54"/>
    <row r="500" ht="15.75" customHeight="1" s="54"/>
    <row r="501" ht="15.75" customHeight="1" s="54"/>
    <row r="502" ht="15.75" customHeight="1" s="54"/>
    <row r="503" ht="15.75" customHeight="1" s="54"/>
    <row r="504" ht="15.75" customHeight="1" s="54"/>
    <row r="505" ht="15.75" customHeight="1" s="54"/>
    <row r="506" ht="15.75" customHeight="1" s="54"/>
    <row r="507" ht="15.75" customHeight="1" s="54"/>
    <row r="508" ht="15.75" customHeight="1" s="54"/>
    <row r="509" ht="15.75" customHeight="1" s="54"/>
    <row r="510" ht="15.75" customHeight="1" s="54"/>
    <row r="511" ht="15.75" customHeight="1" s="54"/>
    <row r="512" ht="15.75" customHeight="1" s="54"/>
    <row r="513" ht="15.75" customHeight="1" s="54"/>
    <row r="514" ht="15.75" customHeight="1" s="54"/>
    <row r="515" ht="15.75" customHeight="1" s="54"/>
    <row r="516" ht="15.75" customHeight="1" s="54"/>
    <row r="517" ht="15.75" customHeight="1" s="54"/>
    <row r="518" ht="15.75" customHeight="1" s="54"/>
    <row r="519" ht="15.75" customHeight="1" s="54"/>
    <row r="520" ht="15.75" customHeight="1" s="54"/>
    <row r="521" ht="15.75" customHeight="1" s="54"/>
    <row r="522" ht="15.75" customHeight="1" s="54"/>
    <row r="523" ht="15.75" customHeight="1" s="54"/>
    <row r="524" ht="15.75" customHeight="1" s="54"/>
    <row r="525" ht="15.75" customHeight="1" s="54"/>
    <row r="526" ht="15.75" customHeight="1" s="54"/>
    <row r="527" ht="15.75" customHeight="1" s="54"/>
    <row r="528" ht="15.75" customHeight="1" s="54"/>
    <row r="529" ht="15.75" customHeight="1" s="54"/>
    <row r="530" ht="15.75" customHeight="1" s="54"/>
    <row r="531" ht="15.75" customHeight="1" s="54"/>
    <row r="532" ht="15.75" customHeight="1" s="54"/>
    <row r="533" ht="15.75" customHeight="1" s="54"/>
    <row r="534" ht="15.75" customHeight="1" s="54"/>
    <row r="535" ht="15.75" customHeight="1" s="54"/>
    <row r="536" ht="15.75" customHeight="1" s="54"/>
    <row r="537" ht="15.75" customHeight="1" s="54"/>
    <row r="538" ht="15.75" customHeight="1" s="54"/>
    <row r="539" ht="15.75" customHeight="1" s="54"/>
    <row r="540" ht="15.75" customHeight="1" s="54"/>
    <row r="541" ht="15.75" customHeight="1" s="54"/>
    <row r="542" ht="15.75" customHeight="1" s="54"/>
    <row r="543" ht="15.75" customHeight="1" s="54"/>
    <row r="544" ht="15.75" customHeight="1" s="54"/>
    <row r="545" ht="15.75" customHeight="1" s="54"/>
    <row r="546" ht="15.75" customHeight="1" s="54"/>
    <row r="547" ht="15.75" customHeight="1" s="54"/>
    <row r="548" ht="15.75" customHeight="1" s="54"/>
    <row r="549" ht="15.75" customHeight="1" s="54"/>
    <row r="550" ht="15.75" customHeight="1" s="54"/>
    <row r="551" ht="15.75" customHeight="1" s="54"/>
    <row r="552" ht="15.75" customHeight="1" s="54"/>
    <row r="553" ht="15.75" customHeight="1" s="54"/>
    <row r="554" ht="15.75" customHeight="1" s="54"/>
    <row r="555" ht="15.75" customHeight="1" s="54"/>
    <row r="556" ht="15.75" customHeight="1" s="54"/>
    <row r="557" ht="15.75" customHeight="1" s="54"/>
    <row r="558" ht="15.75" customHeight="1" s="54"/>
    <row r="559" ht="15.75" customHeight="1" s="54"/>
    <row r="560" ht="15.75" customHeight="1" s="54"/>
    <row r="561" ht="15.75" customHeight="1" s="54"/>
    <row r="562" ht="15.75" customHeight="1" s="54"/>
    <row r="563" ht="15.75" customHeight="1" s="54"/>
    <row r="564" ht="15.75" customHeight="1" s="54"/>
    <row r="565" ht="15.75" customHeight="1" s="54"/>
    <row r="566" ht="15.75" customHeight="1" s="54"/>
    <row r="567" ht="15.75" customHeight="1" s="54"/>
    <row r="568" ht="15.75" customHeight="1" s="54"/>
    <row r="569" ht="15.75" customHeight="1" s="54"/>
    <row r="570" ht="15.75" customHeight="1" s="54"/>
    <row r="571" ht="15.75" customHeight="1" s="54"/>
    <row r="572" ht="15.75" customHeight="1" s="54"/>
    <row r="573" ht="15.75" customHeight="1" s="54"/>
    <row r="574" ht="15.75" customHeight="1" s="54"/>
    <row r="575" ht="15.75" customHeight="1" s="54"/>
    <row r="576" ht="15.75" customHeight="1" s="54"/>
    <row r="577" ht="15.75" customHeight="1" s="54"/>
    <row r="578" ht="15.75" customHeight="1" s="54"/>
    <row r="579" ht="15.75" customHeight="1" s="54"/>
    <row r="580" ht="15.75" customHeight="1" s="54"/>
    <row r="581" ht="15.75" customHeight="1" s="54"/>
    <row r="582" ht="15.75" customHeight="1" s="54"/>
    <row r="583" ht="15.75" customHeight="1" s="54"/>
    <row r="584" ht="15.75" customHeight="1" s="54"/>
    <row r="585" ht="15.75" customHeight="1" s="54"/>
    <row r="586" ht="15.75" customHeight="1" s="54"/>
    <row r="587" ht="15.75" customHeight="1" s="54"/>
    <row r="588" ht="15.75" customHeight="1" s="54"/>
    <row r="589" ht="15.75" customHeight="1" s="54"/>
    <row r="590" ht="15.75" customHeight="1" s="54"/>
    <row r="591" ht="15.75" customHeight="1" s="54"/>
    <row r="592" ht="15.75" customHeight="1" s="54"/>
    <row r="593" ht="15.75" customHeight="1" s="54"/>
    <row r="594" ht="15.75" customHeight="1" s="54"/>
    <row r="595" ht="15.75" customHeight="1" s="54"/>
    <row r="596" ht="15.75" customHeight="1" s="54"/>
    <row r="597" ht="15.75" customHeight="1" s="54"/>
    <row r="598" ht="15.75" customHeight="1" s="54"/>
    <row r="599" ht="15.75" customHeight="1" s="54"/>
    <row r="600" ht="15.75" customHeight="1" s="54"/>
    <row r="601" ht="15.75" customHeight="1" s="54"/>
    <row r="602" ht="15.75" customHeight="1" s="54"/>
    <row r="603" ht="15.75" customHeight="1" s="54"/>
    <row r="604" ht="15.75" customHeight="1" s="54"/>
    <row r="605" ht="15.75" customHeight="1" s="54"/>
    <row r="606" ht="15.75" customHeight="1" s="54"/>
    <row r="607" ht="15.75" customHeight="1" s="54"/>
    <row r="608" ht="15.75" customHeight="1" s="54"/>
    <row r="609" ht="15.75" customHeight="1" s="54"/>
    <row r="610" ht="15.75" customHeight="1" s="54"/>
    <row r="611" ht="15.75" customHeight="1" s="54"/>
    <row r="612" ht="15.75" customHeight="1" s="54"/>
    <row r="613" ht="15.75" customHeight="1" s="54"/>
    <row r="614" ht="15.75" customHeight="1" s="54"/>
    <row r="615" ht="15.75" customHeight="1" s="54"/>
    <row r="616" ht="15.75" customHeight="1" s="54"/>
    <row r="617" ht="15.75" customHeight="1" s="54"/>
    <row r="618" ht="15.75" customHeight="1" s="54"/>
    <row r="619" ht="15.75" customHeight="1" s="54"/>
    <row r="620" ht="15.75" customHeight="1" s="54"/>
    <row r="621" ht="15.75" customHeight="1" s="54"/>
    <row r="622" ht="15.75" customHeight="1" s="54"/>
    <row r="623" ht="15.75" customHeight="1" s="54"/>
    <row r="624" ht="15.75" customHeight="1" s="54"/>
    <row r="625" ht="15.75" customHeight="1" s="54"/>
    <row r="626" ht="15.75" customHeight="1" s="54"/>
    <row r="627" ht="15.75" customHeight="1" s="54"/>
    <row r="628" ht="15.75" customHeight="1" s="54"/>
    <row r="629" ht="15.75" customHeight="1" s="54"/>
    <row r="630" ht="15.75" customHeight="1" s="54"/>
    <row r="631" ht="15.75" customHeight="1" s="54"/>
    <row r="632" ht="15.75" customHeight="1" s="54"/>
    <row r="633" ht="15.75" customHeight="1" s="54"/>
    <row r="634" ht="15.75" customHeight="1" s="54"/>
    <row r="635" ht="15.75" customHeight="1" s="54"/>
    <row r="636" ht="15.75" customHeight="1" s="54"/>
    <row r="637" ht="15.75" customHeight="1" s="54"/>
    <row r="638" ht="15.75" customHeight="1" s="54"/>
    <row r="639" ht="15.75" customHeight="1" s="54"/>
    <row r="640" ht="15.75" customHeight="1" s="54"/>
    <row r="641" ht="15.75" customHeight="1" s="54"/>
    <row r="642" ht="15.75" customHeight="1" s="54"/>
    <row r="643" ht="15.75" customHeight="1" s="54"/>
    <row r="644" ht="15.75" customHeight="1" s="54"/>
    <row r="645" ht="15.75" customHeight="1" s="54"/>
    <row r="646" ht="15.75" customHeight="1" s="54"/>
    <row r="647" ht="15.75" customHeight="1" s="54"/>
    <row r="648" ht="15.75" customHeight="1" s="54"/>
    <row r="649" ht="15.75" customHeight="1" s="54"/>
    <row r="650" ht="15.75" customHeight="1" s="54"/>
    <row r="651" ht="15.75" customHeight="1" s="54"/>
    <row r="652" ht="15.75" customHeight="1" s="54"/>
    <row r="653" ht="15.75" customHeight="1" s="54"/>
    <row r="654" ht="15.75" customHeight="1" s="54"/>
    <row r="655" ht="15.75" customHeight="1" s="54"/>
    <row r="656" ht="15.75" customHeight="1" s="54"/>
    <row r="657" ht="15.75" customHeight="1" s="54"/>
    <row r="658" ht="15.75" customHeight="1" s="54"/>
    <row r="659" ht="15.75" customHeight="1" s="54"/>
    <row r="660" ht="15.75" customHeight="1" s="54"/>
    <row r="661" ht="15.75" customHeight="1" s="54"/>
    <row r="662" ht="15.75" customHeight="1" s="54"/>
    <row r="663" ht="15.75" customHeight="1" s="54"/>
    <row r="664" ht="15.75" customHeight="1" s="54"/>
    <row r="665" ht="15.75" customHeight="1" s="54"/>
    <row r="666" ht="15.75" customHeight="1" s="54"/>
    <row r="667" ht="15.75" customHeight="1" s="54"/>
    <row r="668" ht="15.75" customHeight="1" s="54"/>
    <row r="669" ht="15.75" customHeight="1" s="54"/>
    <row r="670" ht="15.75" customHeight="1" s="54"/>
    <row r="671" ht="15.75" customHeight="1" s="54"/>
    <row r="672" ht="15.75" customHeight="1" s="54"/>
    <row r="673" ht="15.75" customHeight="1" s="54"/>
    <row r="674" ht="15.75" customHeight="1" s="54"/>
    <row r="675" ht="15.75" customHeight="1" s="54"/>
    <row r="676" ht="15.75" customHeight="1" s="54"/>
    <row r="677" ht="15.75" customHeight="1" s="54"/>
    <row r="678" ht="15.75" customHeight="1" s="54"/>
    <row r="679" ht="15.75" customHeight="1" s="54"/>
    <row r="680" ht="15.75" customHeight="1" s="54"/>
    <row r="681" ht="15.75" customHeight="1" s="54"/>
    <row r="682" ht="15.75" customHeight="1" s="54"/>
    <row r="683" ht="15.75" customHeight="1" s="54"/>
    <row r="684" ht="15.75" customHeight="1" s="54"/>
    <row r="685" ht="15.75" customHeight="1" s="54"/>
    <row r="686" ht="15.75" customHeight="1" s="54"/>
    <row r="687" ht="15.75" customHeight="1" s="54"/>
    <row r="688" ht="15.75" customHeight="1" s="54"/>
    <row r="689" ht="15.75" customHeight="1" s="54"/>
    <row r="690" ht="15.75" customHeight="1" s="54"/>
    <row r="691" ht="15.75" customHeight="1" s="54"/>
    <row r="692" ht="15.75" customHeight="1" s="54"/>
    <row r="693" ht="15.75" customHeight="1" s="54"/>
    <row r="694" ht="15.75" customHeight="1" s="54"/>
    <row r="695" ht="15.75" customHeight="1" s="54"/>
    <row r="696" ht="15.75" customHeight="1" s="54"/>
    <row r="697" ht="15.75" customHeight="1" s="54"/>
    <row r="698" ht="15.75" customHeight="1" s="54"/>
    <row r="699" ht="15.75" customHeight="1" s="54"/>
    <row r="700" ht="15.75" customHeight="1" s="54"/>
    <row r="701" ht="15.75" customHeight="1" s="54"/>
    <row r="702" ht="15.75" customHeight="1" s="54"/>
    <row r="703" ht="15.75" customHeight="1" s="54"/>
    <row r="704" ht="15.75" customHeight="1" s="54"/>
    <row r="705" ht="15.75" customHeight="1" s="54"/>
    <row r="706" ht="15.75" customHeight="1" s="54"/>
    <row r="707" ht="15.75" customHeight="1" s="54"/>
    <row r="708" ht="15.75" customHeight="1" s="54"/>
    <row r="709" ht="15.75" customHeight="1" s="54"/>
    <row r="710" ht="15.75" customHeight="1" s="54"/>
    <row r="711" ht="15.75" customHeight="1" s="54"/>
    <row r="712" ht="15.75" customHeight="1" s="54"/>
    <row r="713" ht="15.75" customHeight="1" s="54"/>
    <row r="714" ht="15.75" customHeight="1" s="54"/>
    <row r="715" ht="15.75" customHeight="1" s="54"/>
    <row r="716" ht="15.75" customHeight="1" s="54"/>
    <row r="717" ht="15.75" customHeight="1" s="54"/>
    <row r="718" ht="15.75" customHeight="1" s="54"/>
    <row r="719" ht="15.75" customHeight="1" s="54"/>
    <row r="720" ht="15.75" customHeight="1" s="54"/>
    <row r="721" ht="15.75" customHeight="1" s="54"/>
    <row r="722" ht="15.75" customHeight="1" s="54"/>
    <row r="723" ht="15.75" customHeight="1" s="54"/>
    <row r="724" ht="15.75" customHeight="1" s="54"/>
    <row r="725" ht="15.75" customHeight="1" s="54"/>
    <row r="726" ht="15.75" customHeight="1" s="54"/>
    <row r="727" ht="15.75" customHeight="1" s="54"/>
    <row r="728" ht="15.75" customHeight="1" s="54"/>
    <row r="729" ht="15.75" customHeight="1" s="54"/>
    <row r="730" ht="15.75" customHeight="1" s="54"/>
    <row r="731" ht="15.75" customHeight="1" s="54"/>
    <row r="732" ht="15.75" customHeight="1" s="54"/>
    <row r="733" ht="15.75" customHeight="1" s="54"/>
    <row r="734" ht="15.75" customHeight="1" s="54"/>
    <row r="735" ht="15.75" customHeight="1" s="54"/>
    <row r="736" ht="15.75" customHeight="1" s="54"/>
    <row r="737" ht="15.75" customHeight="1" s="54"/>
    <row r="738" ht="15.75" customHeight="1" s="54"/>
    <row r="739" ht="15.75" customHeight="1" s="54"/>
    <row r="740" ht="15.75" customHeight="1" s="54"/>
    <row r="741" ht="15.75" customHeight="1" s="54"/>
    <row r="742" ht="15.75" customHeight="1" s="54"/>
    <row r="743" ht="15.75" customHeight="1" s="54"/>
    <row r="744" ht="15.75" customHeight="1" s="54"/>
    <row r="745" ht="15.75" customHeight="1" s="54"/>
    <row r="746" ht="15.75" customHeight="1" s="54"/>
    <row r="747" ht="15.75" customHeight="1" s="54"/>
    <row r="748" ht="15.75" customHeight="1" s="54"/>
    <row r="749" ht="15.75" customHeight="1" s="54"/>
    <row r="750" ht="15.75" customHeight="1" s="54"/>
    <row r="751" ht="15.75" customHeight="1" s="54"/>
    <row r="752" ht="15.75" customHeight="1" s="54"/>
    <row r="753" ht="15.75" customHeight="1" s="54"/>
    <row r="754" ht="15.75" customHeight="1" s="54"/>
    <row r="755" ht="15.75" customHeight="1" s="54"/>
    <row r="756" ht="15.75" customHeight="1" s="54"/>
    <row r="757" ht="15.75" customHeight="1" s="54"/>
    <row r="758" ht="15.75" customHeight="1" s="54"/>
    <row r="759" ht="15.75" customHeight="1" s="54"/>
    <row r="760" ht="15.75" customHeight="1" s="54"/>
    <row r="761" ht="15.75" customHeight="1" s="54"/>
    <row r="762" ht="15.75" customHeight="1" s="54"/>
    <row r="763" ht="15.75" customHeight="1" s="54"/>
    <row r="764" ht="15.75" customHeight="1" s="54"/>
    <row r="765" ht="15.75" customHeight="1" s="54"/>
    <row r="766" ht="15.75" customHeight="1" s="54"/>
    <row r="767" ht="15.75" customHeight="1" s="54"/>
    <row r="768" ht="15.75" customHeight="1" s="54"/>
    <row r="769" ht="15.75" customHeight="1" s="54"/>
    <row r="770" ht="15.75" customHeight="1" s="54"/>
    <row r="771" ht="15.75" customHeight="1" s="54"/>
    <row r="772" ht="15.75" customHeight="1" s="54"/>
    <row r="773" ht="15.75" customHeight="1" s="54"/>
    <row r="774" ht="15.75" customHeight="1" s="54"/>
    <row r="775" ht="15.75" customHeight="1" s="54"/>
    <row r="776" ht="15.75" customHeight="1" s="54"/>
    <row r="777" ht="15.75" customHeight="1" s="54"/>
    <row r="778" ht="15.75" customHeight="1" s="54"/>
    <row r="779" ht="15.75" customHeight="1" s="54"/>
    <row r="780" ht="15.75" customHeight="1" s="54"/>
    <row r="781" ht="15.75" customHeight="1" s="54"/>
    <row r="782" ht="15.75" customHeight="1" s="54"/>
    <row r="783" ht="15.75" customHeight="1" s="54"/>
    <row r="784" ht="15.75" customHeight="1" s="54"/>
    <row r="785" ht="15.75" customHeight="1" s="54"/>
    <row r="786" ht="15.75" customHeight="1" s="54"/>
    <row r="787" ht="15.75" customHeight="1" s="54"/>
    <row r="788" ht="15.75" customHeight="1" s="54"/>
    <row r="789" ht="15.75" customHeight="1" s="54"/>
    <row r="790" ht="15.75" customHeight="1" s="54"/>
    <row r="791" ht="15.75" customHeight="1" s="54"/>
    <row r="792" ht="15.75" customHeight="1" s="54"/>
    <row r="793" ht="15.75" customHeight="1" s="54"/>
    <row r="794" ht="15.75" customHeight="1" s="54"/>
    <row r="795" ht="15.75" customHeight="1" s="54"/>
    <row r="796" ht="15.75" customHeight="1" s="54"/>
    <row r="797" ht="15.75" customHeight="1" s="54"/>
    <row r="798" ht="15.75" customHeight="1" s="54"/>
    <row r="799" ht="15.75" customHeight="1" s="54"/>
    <row r="800" ht="15.75" customHeight="1" s="54"/>
    <row r="801" ht="15.75" customHeight="1" s="54"/>
    <row r="802" ht="15.75" customHeight="1" s="54"/>
    <row r="803" ht="15.75" customHeight="1" s="54"/>
    <row r="804" ht="15.75" customHeight="1" s="54"/>
    <row r="805" ht="15.75" customHeight="1" s="54"/>
    <row r="806" ht="15.75" customHeight="1" s="54"/>
    <row r="807" ht="15.75" customHeight="1" s="54"/>
    <row r="808" ht="15.75" customHeight="1" s="54"/>
    <row r="809" ht="15.75" customHeight="1" s="54"/>
    <row r="810" ht="15.75" customHeight="1" s="54"/>
    <row r="811" ht="15.75" customHeight="1" s="54"/>
    <row r="812" ht="15.75" customHeight="1" s="54"/>
    <row r="813" ht="15.75" customHeight="1" s="54"/>
    <row r="814" ht="15.75" customHeight="1" s="54"/>
    <row r="815" ht="15.75" customHeight="1" s="54"/>
    <row r="816" ht="15.75" customHeight="1" s="54"/>
    <row r="817" ht="15.75" customHeight="1" s="54"/>
    <row r="818" ht="15.75" customHeight="1" s="54"/>
    <row r="819" ht="15.75" customHeight="1" s="54"/>
    <row r="820" ht="15.75" customHeight="1" s="54"/>
    <row r="821" ht="15.75" customHeight="1" s="54"/>
    <row r="822" ht="15.75" customHeight="1" s="54"/>
    <row r="823" ht="15.75" customHeight="1" s="54"/>
    <row r="824" ht="15.75" customHeight="1" s="54"/>
    <row r="825" ht="15.75" customHeight="1" s="54"/>
    <row r="826" ht="15.75" customHeight="1" s="54"/>
    <row r="827" ht="15.75" customHeight="1" s="54"/>
    <row r="828" ht="15.75" customHeight="1" s="54"/>
    <row r="829" ht="15.75" customHeight="1" s="54"/>
    <row r="830" ht="15.75" customHeight="1" s="54"/>
    <row r="831" ht="15.75" customHeight="1" s="54"/>
    <row r="832" ht="15.75" customHeight="1" s="54"/>
    <row r="833" ht="15.75" customHeight="1" s="54"/>
    <row r="834" ht="15.75" customHeight="1" s="54"/>
    <row r="835" ht="15.75" customHeight="1" s="54"/>
    <row r="836" ht="15.75" customHeight="1" s="54"/>
    <row r="837" ht="15.75" customHeight="1" s="54"/>
    <row r="838" ht="15.75" customHeight="1" s="54"/>
    <row r="839" ht="15.75" customHeight="1" s="54"/>
    <row r="840" ht="15.75" customHeight="1" s="54"/>
    <row r="841" ht="15.75" customHeight="1" s="54"/>
    <row r="842" ht="15.75" customHeight="1" s="54"/>
    <row r="843" ht="15.75" customHeight="1" s="54"/>
    <row r="844" ht="15.75" customHeight="1" s="54"/>
    <row r="845" ht="15.75" customHeight="1" s="54"/>
    <row r="846" ht="15.75" customHeight="1" s="54"/>
    <row r="847" ht="15.75" customHeight="1" s="54"/>
    <row r="848" ht="15.75" customHeight="1" s="54"/>
    <row r="849" ht="15.75" customHeight="1" s="54"/>
    <row r="850" ht="15.75" customHeight="1" s="54"/>
    <row r="851" ht="15.75" customHeight="1" s="54"/>
    <row r="852" ht="15.75" customHeight="1" s="54"/>
    <row r="853" ht="15.75" customHeight="1" s="54"/>
    <row r="854" ht="15.75" customHeight="1" s="54"/>
    <row r="855" ht="15.75" customHeight="1" s="54"/>
    <row r="856" ht="15.75" customHeight="1" s="54"/>
    <row r="857" ht="15.75" customHeight="1" s="54"/>
    <row r="858" ht="15.75" customHeight="1" s="54"/>
    <row r="859" ht="15.75" customHeight="1" s="54"/>
    <row r="860" ht="15.75" customHeight="1" s="54"/>
    <row r="861" ht="15.75" customHeight="1" s="54"/>
    <row r="862" ht="15.75" customHeight="1" s="54"/>
    <row r="863" ht="15.75" customHeight="1" s="54"/>
    <row r="864" ht="15.75" customHeight="1" s="54"/>
    <row r="865" ht="15.75" customHeight="1" s="54"/>
    <row r="866" ht="15.75" customHeight="1" s="54"/>
    <row r="867" ht="15.75" customHeight="1" s="54"/>
    <row r="868" ht="15.75" customHeight="1" s="54"/>
    <row r="869" ht="15.75" customHeight="1" s="54"/>
    <row r="870" ht="15.75" customHeight="1" s="54"/>
    <row r="871" ht="15.75" customHeight="1" s="54"/>
    <row r="872" ht="15.75" customHeight="1" s="54"/>
    <row r="873" ht="15.75" customHeight="1" s="54"/>
    <row r="874" ht="15.75" customHeight="1" s="54"/>
    <row r="875" ht="15.75" customHeight="1" s="54"/>
    <row r="876" ht="15.75" customHeight="1" s="54"/>
    <row r="877" ht="15.75" customHeight="1" s="54"/>
    <row r="878" ht="15.75" customHeight="1" s="54"/>
    <row r="879" ht="15.75" customHeight="1" s="54"/>
    <row r="880" ht="15.75" customHeight="1" s="54"/>
    <row r="881" ht="15.75" customHeight="1" s="54"/>
    <row r="882" ht="15.75" customHeight="1" s="54"/>
    <row r="883" ht="15.75" customHeight="1" s="54"/>
    <row r="884" ht="15.75" customHeight="1" s="54"/>
    <row r="885" ht="15.75" customHeight="1" s="54"/>
    <row r="886" ht="15.75" customHeight="1" s="54"/>
    <row r="887" ht="15.75" customHeight="1" s="54"/>
    <row r="888" ht="15.75" customHeight="1" s="54"/>
    <row r="889" ht="15.75" customHeight="1" s="54"/>
    <row r="890" ht="15.75" customHeight="1" s="54"/>
    <row r="891" ht="15.75" customHeight="1" s="54"/>
    <row r="892" ht="15.75" customHeight="1" s="54"/>
    <row r="893" ht="15.75" customHeight="1" s="54"/>
    <row r="894" ht="15.75" customHeight="1" s="54"/>
    <row r="895" ht="15.75" customHeight="1" s="54"/>
    <row r="896" ht="15.75" customHeight="1" s="54"/>
    <row r="897" ht="15.75" customHeight="1" s="54"/>
    <row r="898" ht="15.75" customHeight="1" s="54"/>
    <row r="899" ht="15.75" customHeight="1" s="54"/>
    <row r="900" ht="15.75" customHeight="1" s="54"/>
    <row r="901" ht="15.75" customHeight="1" s="54"/>
    <row r="902" ht="15.75" customHeight="1" s="54"/>
    <row r="903" ht="15.75" customHeight="1" s="54"/>
    <row r="904" ht="15.75" customHeight="1" s="54"/>
    <row r="905" ht="15.75" customHeight="1" s="54"/>
    <row r="906" ht="15.75" customHeight="1" s="54"/>
    <row r="907" ht="15.75" customHeight="1" s="54"/>
    <row r="908" ht="15.75" customHeight="1" s="54"/>
    <row r="909" ht="15.75" customHeight="1" s="54"/>
    <row r="910" ht="15.75" customHeight="1" s="54"/>
    <row r="911" ht="15.75" customHeight="1" s="54"/>
    <row r="912" ht="15.75" customHeight="1" s="54"/>
    <row r="913" ht="15.75" customHeight="1" s="54"/>
    <row r="914" ht="15.75" customHeight="1" s="54"/>
    <row r="915" ht="15.75" customHeight="1" s="54"/>
    <row r="916" ht="15.75" customHeight="1" s="54"/>
    <row r="917" ht="15.75" customHeight="1" s="54"/>
    <row r="918" ht="15.75" customHeight="1" s="54"/>
    <row r="919" ht="15.75" customHeight="1" s="54"/>
    <row r="920" ht="15.75" customHeight="1" s="54"/>
    <row r="921" ht="15.75" customHeight="1" s="54"/>
    <row r="922" ht="15.75" customHeight="1" s="54"/>
    <row r="923" ht="15.75" customHeight="1" s="54"/>
    <row r="924" ht="15.75" customHeight="1" s="54"/>
    <row r="925" ht="15.75" customHeight="1" s="54"/>
    <row r="926" ht="15.75" customHeight="1" s="54"/>
    <row r="927" ht="15.75" customHeight="1" s="54"/>
    <row r="928" ht="15.75" customHeight="1" s="54"/>
    <row r="929" ht="15.75" customHeight="1" s="54"/>
    <row r="930" ht="15.75" customHeight="1" s="54"/>
    <row r="931" ht="15.75" customHeight="1" s="54"/>
    <row r="932" ht="15.75" customHeight="1" s="54"/>
    <row r="933" ht="15.75" customHeight="1" s="54"/>
    <row r="934" ht="15.75" customHeight="1" s="54"/>
    <row r="935" ht="15.75" customHeight="1" s="54"/>
    <row r="936" ht="15.75" customHeight="1" s="54"/>
    <row r="937" ht="15.75" customHeight="1" s="54"/>
    <row r="938" ht="15.75" customHeight="1" s="54"/>
    <row r="939" ht="15.75" customHeight="1" s="54"/>
    <row r="940" ht="15.75" customHeight="1" s="54"/>
    <row r="941" ht="15.75" customHeight="1" s="54"/>
    <row r="942" ht="15.75" customHeight="1" s="54"/>
    <row r="943" ht="15.75" customHeight="1" s="54"/>
    <row r="944" ht="15.75" customHeight="1" s="54"/>
    <row r="945" ht="15.75" customHeight="1" s="54"/>
    <row r="946" ht="15.75" customHeight="1" s="54"/>
    <row r="947" ht="15.75" customHeight="1" s="54"/>
    <row r="948" ht="15.75" customHeight="1" s="54"/>
    <row r="949" ht="15.75" customHeight="1" s="54"/>
    <row r="950" ht="15.75" customHeight="1" s="54"/>
    <row r="951" ht="15.75" customHeight="1" s="54"/>
    <row r="952" ht="15.75" customHeight="1" s="54"/>
    <row r="953" ht="15.75" customHeight="1" s="54"/>
    <row r="954" ht="15.75" customHeight="1" s="54"/>
    <row r="955" ht="15.75" customHeight="1" s="54"/>
    <row r="956" ht="15.75" customHeight="1" s="54"/>
    <row r="957" ht="15.75" customHeight="1" s="54"/>
    <row r="958" ht="15.75" customHeight="1" s="54"/>
    <row r="959" ht="15.75" customHeight="1" s="54"/>
    <row r="960" ht="15.75" customHeight="1" s="54"/>
    <row r="961" ht="15.75" customHeight="1" s="54"/>
    <row r="962" ht="15.75" customHeight="1" s="54"/>
    <row r="963" ht="15.75" customHeight="1" s="54"/>
    <row r="964" ht="15.75" customHeight="1" s="54"/>
    <row r="965" ht="15.75" customHeight="1" s="54"/>
    <row r="966" ht="15.75" customHeight="1" s="54"/>
    <row r="967" ht="15.75" customHeight="1" s="54"/>
    <row r="968" ht="15.75" customHeight="1" s="54"/>
    <row r="969" ht="15.75" customHeight="1" s="54"/>
    <row r="970" ht="15.75" customHeight="1" s="54"/>
    <row r="971" ht="15.75" customHeight="1" s="54"/>
    <row r="972" ht="15.75" customHeight="1" s="54"/>
    <row r="973" ht="15.75" customHeight="1" s="54"/>
    <row r="974" ht="15.75" customHeight="1" s="54"/>
    <row r="975" ht="15.75" customHeight="1" s="54"/>
    <row r="976" ht="15.75" customHeight="1" s="54"/>
    <row r="977" ht="15.75" customHeight="1" s="54"/>
    <row r="978" ht="15.75" customHeight="1" s="54"/>
    <row r="979" ht="15.75" customHeight="1" s="54"/>
    <row r="980" ht="15.75" customHeight="1" s="54"/>
    <row r="981" ht="15.75" customHeight="1" s="54"/>
    <row r="982" ht="15.75" customHeight="1" s="54"/>
    <row r="983" ht="15.75" customHeight="1" s="54"/>
    <row r="984" ht="15.75" customHeight="1" s="54"/>
    <row r="985" ht="15.75" customHeight="1" s="54"/>
    <row r="986" ht="15.75" customHeight="1" s="54"/>
    <row r="987" ht="15.75" customHeight="1" s="54"/>
    <row r="988" ht="15.75" customHeight="1" s="54"/>
    <row r="989" ht="15.75" customHeight="1" s="54"/>
    <row r="990" ht="15.75" customHeight="1" s="54"/>
    <row r="991" ht="15.75" customHeight="1" s="54"/>
    <row r="992" ht="15.75" customHeight="1" s="54"/>
    <row r="993" ht="15.75" customHeight="1" s="54"/>
    <row r="994" ht="15.75" customHeight="1" s="54"/>
    <row r="995" ht="15.75" customHeight="1" s="54"/>
    <row r="996" ht="15.75" customHeight="1" s="54"/>
    <row r="997" ht="15.75" customHeight="1" s="54"/>
    <row r="998" ht="15.75" customHeight="1" s="54"/>
    <row r="999" ht="15.75" customHeight="1" s="54"/>
    <row r="1000" ht="15.75" customHeight="1" s="54"/>
  </sheetData>
  <mergeCells count="1">
    <mergeCell ref="A1:H1"/>
  </mergeCells>
  <pageMargins left="0.75" right="0.75" top="1" bottom="1" header="0" footer="0"/>
  <pageSetup orientation="landscape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17"/>
  <sheetViews>
    <sheetView showGridLines="0" workbookViewId="0">
      <selection activeCell="A1" sqref="A1"/>
    </sheetView>
  </sheetViews>
  <sheetFormatPr baseColWidth="8" defaultColWidth="14.453125" defaultRowHeight="15" customHeight="1"/>
  <cols>
    <col width="8" customWidth="1" style="54" min="1" max="2"/>
    <col width="26" customWidth="1" style="54" min="3" max="3"/>
    <col width="10" customWidth="1" style="54" min="4" max="13"/>
    <col width="8.7265625" customWidth="1" style="54" min="14" max="26"/>
  </cols>
  <sheetData>
    <row r="1" ht="30" customHeight="1" s="54">
      <c r="A1" s="83" t="inlineStr">
        <is>
          <t>SUS Raw Responses — Enter each participant's 1–5 rating for every question</t>
        </is>
      </c>
    </row>
    <row r="2" ht="18" customHeight="1" s="54">
      <c r="A2" s="22" t="inlineStr">
        <is>
          <t>#</t>
        </is>
      </c>
      <c r="B2" s="22" t="inlineStr">
        <is>
          <t>ID</t>
        </is>
      </c>
      <c r="C2" s="22" t="inlineStr">
        <is>
          <t>Role</t>
        </is>
      </c>
      <c r="D2" s="19" t="inlineStr">
        <is>
          <t>Q1</t>
        </is>
      </c>
      <c r="E2" s="25" t="inlineStr">
        <is>
          <t>Q2</t>
        </is>
      </c>
      <c r="F2" s="19" t="inlineStr">
        <is>
          <t>Q3</t>
        </is>
      </c>
      <c r="G2" s="25" t="inlineStr">
        <is>
          <t>Q4</t>
        </is>
      </c>
      <c r="H2" s="19" t="inlineStr">
        <is>
          <t>Q5</t>
        </is>
      </c>
      <c r="I2" s="25" t="inlineStr">
        <is>
          <t>Q6</t>
        </is>
      </c>
      <c r="J2" s="19" t="inlineStr">
        <is>
          <t>Q7</t>
        </is>
      </c>
      <c r="K2" s="25" t="inlineStr">
        <is>
          <t>Q8</t>
        </is>
      </c>
      <c r="L2" s="19" t="inlineStr">
        <is>
          <t>Q9</t>
        </is>
      </c>
      <c r="M2" s="25" t="inlineStr">
        <is>
          <t>Q10</t>
        </is>
      </c>
    </row>
    <row r="3" ht="60" customHeight="1" s="54">
      <c r="A3" s="84" t="n"/>
      <c r="B3" s="84" t="n"/>
      <c r="C3" s="84" t="n"/>
      <c r="D3" s="26" t="inlineStr">
        <is>
          <t>I think that I would like to use this system frequently.</t>
        </is>
      </c>
      <c r="E3" s="27" t="inlineStr">
        <is>
          <t>I found the system unnecessarily complex.</t>
        </is>
      </c>
      <c r="F3" s="26" t="inlineStr">
        <is>
          <t>I thought the system was easy to use.</t>
        </is>
      </c>
      <c r="G3" s="27" t="inlineStr">
        <is>
          <t>I think that I would need the support of a technical person …</t>
        </is>
      </c>
      <c r="H3" s="26" t="inlineStr">
        <is>
          <t>I found the various functions in this system were well integ…</t>
        </is>
      </c>
      <c r="I3" s="27" t="inlineStr">
        <is>
          <t>I thought there was too much inconsistency in this system.</t>
        </is>
      </c>
      <c r="J3" s="26" t="inlineStr">
        <is>
          <t>I would imagine that most people would learn to use this sys…</t>
        </is>
      </c>
      <c r="K3" s="27" t="inlineStr">
        <is>
          <t>I found the system very cumbersome to use.</t>
        </is>
      </c>
      <c r="L3" s="26" t="inlineStr">
        <is>
          <t>I felt very confident using the system.</t>
        </is>
      </c>
      <c r="M3" s="27" t="inlineStr">
        <is>
          <t>I needed to learn a lot of things before I could get going w…</t>
        </is>
      </c>
    </row>
    <row r="4" ht="15.75" customHeight="1" s="54">
      <c r="A4" s="85" t="inlineStr">
        <is>
          <t>Scale:  1 = Strongly Disagree    2 = Disagree    3 = Neutral    4 = Agree    5 = Strongly Agree</t>
        </is>
      </c>
      <c r="B4" s="80" t="n"/>
      <c r="C4" s="77" t="n"/>
      <c r="D4" s="28" t="inlineStr">
        <is>
          <t>Blue=Positive  Orange=Negative</t>
        </is>
      </c>
      <c r="E4" s="28" t="n"/>
      <c r="F4" s="28" t="n"/>
      <c r="G4" s="28" t="n"/>
      <c r="H4" s="28" t="n"/>
      <c r="I4" s="28" t="n"/>
      <c r="J4" s="28" t="n"/>
      <c r="K4" s="28" t="n"/>
      <c r="L4" s="28" t="n"/>
      <c r="M4" s="28" t="n"/>
    </row>
    <row r="5" ht="19.5" customHeight="1" s="54">
      <c r="A5" s="23" t="n">
        <v>1</v>
      </c>
      <c r="B5" s="29" t="inlineStr">
        <is>
          <t>P1</t>
        </is>
      </c>
      <c r="C5" s="23" t="inlineStr">
        <is>
          <t>IPDC Management Staff</t>
        </is>
      </c>
      <c r="D5" s="30" t="n">
        <v>5</v>
      </c>
      <c r="E5" s="30" t="n">
        <v>1</v>
      </c>
      <c r="F5" s="30" t="n">
        <v>5</v>
      </c>
      <c r="G5" s="30" t="n">
        <v>2</v>
      </c>
      <c r="H5" s="30" t="n">
        <v>5</v>
      </c>
      <c r="I5" s="30" t="n">
        <v>2</v>
      </c>
      <c r="J5" s="30" t="n">
        <v>4</v>
      </c>
      <c r="K5" s="30" t="n">
        <v>2</v>
      </c>
      <c r="L5" s="30" t="n">
        <v>5</v>
      </c>
      <c r="M5" s="30" t="n">
        <v>2</v>
      </c>
    </row>
    <row r="6" ht="19.5" customHeight="1" s="54">
      <c r="A6" s="24" t="n">
        <v>2</v>
      </c>
      <c r="B6" s="31" t="inlineStr">
        <is>
          <t>P2</t>
        </is>
      </c>
      <c r="C6" s="24" t="inlineStr">
        <is>
          <t>Tenant Representative</t>
        </is>
      </c>
      <c r="D6" s="30" t="n">
        <v>4</v>
      </c>
      <c r="E6" s="30" t="n">
        <v>2</v>
      </c>
      <c r="F6" s="30" t="n">
        <v>5</v>
      </c>
      <c r="G6" s="30" t="n">
        <v>2</v>
      </c>
      <c r="H6" s="30" t="n">
        <v>4</v>
      </c>
      <c r="I6" s="30" t="n">
        <v>2</v>
      </c>
      <c r="J6" s="30" t="n">
        <v>4</v>
      </c>
      <c r="K6" s="30" t="n">
        <v>1</v>
      </c>
      <c r="L6" s="30" t="n">
        <v>4</v>
      </c>
      <c r="M6" s="30" t="n">
        <v>2</v>
      </c>
    </row>
    <row r="7" ht="19.5" customHeight="1" s="54">
      <c r="A7" s="23" t="n">
        <v>3</v>
      </c>
      <c r="B7" s="29" t="inlineStr">
        <is>
          <t>P3</t>
        </is>
      </c>
      <c r="C7" s="23" t="inlineStr">
        <is>
          <t>IPDC Management Staff</t>
        </is>
      </c>
      <c r="D7" s="30" t="n">
        <v>5</v>
      </c>
      <c r="E7" s="30" t="n">
        <v>1</v>
      </c>
      <c r="F7" s="30" t="n">
        <v>4</v>
      </c>
      <c r="G7" s="30" t="n">
        <v>1</v>
      </c>
      <c r="H7" s="30" t="n">
        <v>5</v>
      </c>
      <c r="I7" s="30" t="n">
        <v>1</v>
      </c>
      <c r="J7" s="30" t="n">
        <v>4</v>
      </c>
      <c r="K7" s="30" t="n">
        <v>2</v>
      </c>
      <c r="L7" s="30" t="n">
        <v>5</v>
      </c>
      <c r="M7" s="30" t="n">
        <v>1</v>
      </c>
    </row>
    <row r="8" ht="19.5" customHeight="1" s="54">
      <c r="A8" s="24" t="n">
        <v>4</v>
      </c>
      <c r="B8" s="31" t="inlineStr">
        <is>
          <t>P4</t>
        </is>
      </c>
      <c r="C8" s="24" t="inlineStr">
        <is>
          <t>Operations Staff</t>
        </is>
      </c>
      <c r="D8" s="30" t="n">
        <v>4</v>
      </c>
      <c r="E8" s="30" t="n">
        <v>1</v>
      </c>
      <c r="F8" s="30" t="n">
        <v>5</v>
      </c>
      <c r="G8" s="30" t="n">
        <v>2</v>
      </c>
      <c r="H8" s="30" t="n">
        <v>5</v>
      </c>
      <c r="I8" s="30" t="n">
        <v>2</v>
      </c>
      <c r="J8" s="30" t="n">
        <v>4</v>
      </c>
      <c r="K8" s="30" t="n">
        <v>1</v>
      </c>
      <c r="L8" s="30" t="n">
        <v>4</v>
      </c>
      <c r="M8" s="30" t="n">
        <v>2</v>
      </c>
    </row>
    <row r="9" ht="19.5" customHeight="1" s="54">
      <c r="A9" s="23" t="n">
        <v>5</v>
      </c>
      <c r="B9" s="29" t="inlineStr">
        <is>
          <t>P5</t>
        </is>
      </c>
      <c r="C9" s="23" t="inlineStr">
        <is>
          <t>IPDC Management Staff</t>
        </is>
      </c>
      <c r="D9" s="30" t="n">
        <v>4</v>
      </c>
      <c r="E9" s="30" t="n">
        <v>1</v>
      </c>
      <c r="F9" s="30" t="n">
        <v>4</v>
      </c>
      <c r="G9" s="30" t="n">
        <v>1</v>
      </c>
      <c r="H9" s="30" t="n">
        <v>4</v>
      </c>
      <c r="I9" s="30" t="n">
        <v>1</v>
      </c>
      <c r="J9" s="30" t="n">
        <v>5</v>
      </c>
      <c r="K9" s="30" t="n">
        <v>2</v>
      </c>
      <c r="L9" s="30" t="n">
        <v>4</v>
      </c>
      <c r="M9" s="30" t="n">
        <v>2</v>
      </c>
    </row>
    <row r="10" ht="19.5" customHeight="1" s="54">
      <c r="A10" s="24" t="n">
        <v>6</v>
      </c>
      <c r="B10" s="31" t="inlineStr">
        <is>
          <t>P6</t>
        </is>
      </c>
      <c r="C10" s="24" t="inlineStr">
        <is>
          <t>Operations Staff</t>
        </is>
      </c>
      <c r="D10" s="30" t="n">
        <v>4</v>
      </c>
      <c r="E10" s="30" t="n">
        <v>2</v>
      </c>
      <c r="F10" s="30" t="n">
        <v>5</v>
      </c>
      <c r="G10" s="30" t="n">
        <v>2</v>
      </c>
      <c r="H10" s="30" t="n">
        <v>4</v>
      </c>
      <c r="I10" s="30" t="n">
        <v>1</v>
      </c>
      <c r="J10" s="30" t="n">
        <v>4</v>
      </c>
      <c r="K10" s="30" t="n">
        <v>1</v>
      </c>
      <c r="L10" s="30" t="n">
        <v>4</v>
      </c>
      <c r="M10" s="30" t="n">
        <v>2</v>
      </c>
    </row>
    <row r="11" ht="19.5" customHeight="1" s="54">
      <c r="A11" s="23" t="n">
        <v>7</v>
      </c>
      <c r="B11" s="29" t="inlineStr">
        <is>
          <t>P7</t>
        </is>
      </c>
      <c r="C11" s="23" t="inlineStr">
        <is>
          <t>Operations Staff</t>
        </is>
      </c>
      <c r="D11" s="30" t="n">
        <v>4</v>
      </c>
      <c r="E11" s="30" t="n">
        <v>1</v>
      </c>
      <c r="F11" s="30" t="n">
        <v>5</v>
      </c>
      <c r="G11" s="30" t="n">
        <v>1</v>
      </c>
      <c r="H11" s="30" t="n">
        <v>5</v>
      </c>
      <c r="I11" s="30" t="n">
        <v>2</v>
      </c>
      <c r="J11" s="30" t="n">
        <v>5</v>
      </c>
      <c r="K11" s="30" t="n">
        <v>2</v>
      </c>
      <c r="L11" s="30" t="n">
        <v>5</v>
      </c>
      <c r="M11" s="30" t="n">
        <v>2</v>
      </c>
    </row>
    <row r="12" ht="19.5" customHeight="1" s="54">
      <c r="A12" s="24" t="n">
        <v>8</v>
      </c>
      <c r="B12" s="31" t="inlineStr">
        <is>
          <t>P8</t>
        </is>
      </c>
      <c r="C12" s="24" t="inlineStr">
        <is>
          <t>Operations Staff</t>
        </is>
      </c>
      <c r="D12" s="30" t="n">
        <v>5</v>
      </c>
      <c r="E12" s="30" t="n">
        <v>1</v>
      </c>
      <c r="F12" s="30" t="n">
        <v>5</v>
      </c>
      <c r="G12" s="30" t="n">
        <v>1</v>
      </c>
      <c r="H12" s="30" t="n">
        <v>5</v>
      </c>
      <c r="I12" s="30" t="n">
        <v>2</v>
      </c>
      <c r="J12" s="30" t="n">
        <v>5</v>
      </c>
      <c r="K12" s="30" t="n">
        <v>2</v>
      </c>
      <c r="L12" s="30" t="n">
        <v>5</v>
      </c>
      <c r="M12" s="30" t="n">
        <v>2</v>
      </c>
    </row>
    <row r="13" ht="19.5" customHeight="1" s="54">
      <c r="A13" s="23" t="n">
        <v>9</v>
      </c>
      <c r="B13" s="29" t="inlineStr">
        <is>
          <t>P9</t>
        </is>
      </c>
      <c r="C13" s="23" t="inlineStr">
        <is>
          <t>Tenant Representative</t>
        </is>
      </c>
      <c r="D13" s="30" t="n">
        <v>4</v>
      </c>
      <c r="E13" s="30" t="n">
        <v>2</v>
      </c>
      <c r="F13" s="30" t="n">
        <v>5</v>
      </c>
      <c r="G13" s="30" t="n">
        <v>2</v>
      </c>
      <c r="H13" s="30" t="n">
        <v>5</v>
      </c>
      <c r="I13" s="30" t="n">
        <v>2</v>
      </c>
      <c r="J13" s="30" t="n">
        <v>5</v>
      </c>
      <c r="K13" s="30" t="n">
        <v>2</v>
      </c>
      <c r="L13" s="30" t="n">
        <v>5</v>
      </c>
      <c r="M13" s="30" t="n">
        <v>2</v>
      </c>
    </row>
    <row r="14">
      <c r="A14" s="23" t="n">
        <v>10</v>
      </c>
      <c r="B14" s="29" t="inlineStr">
        <is>
          <t>P10</t>
        </is>
      </c>
      <c r="C14" s="23" t="inlineStr">
        <is>
          <t>Operations Staff</t>
        </is>
      </c>
      <c r="D14" s="30" t="n">
        <v>5</v>
      </c>
      <c r="E14" s="30" t="n">
        <v>2</v>
      </c>
      <c r="F14" s="30" t="n">
        <v>5</v>
      </c>
      <c r="G14" s="30" t="n">
        <v>2</v>
      </c>
      <c r="H14" s="30" t="n">
        <v>4</v>
      </c>
      <c r="I14" s="30" t="n">
        <v>1</v>
      </c>
      <c r="J14" s="30" t="n">
        <v>4</v>
      </c>
      <c r="K14" s="30" t="n">
        <v>1</v>
      </c>
      <c r="L14" s="30" t="n">
        <v>5</v>
      </c>
      <c r="M14" s="30" t="n">
        <v>2</v>
      </c>
    </row>
    <row r="15" ht="30" customHeight="1" s="54">
      <c r="A15" s="23" t="n">
        <v>11</v>
      </c>
      <c r="B15" s="29" t="inlineStr">
        <is>
          <t>P11</t>
        </is>
      </c>
      <c r="C15" s="23" t="inlineStr">
        <is>
          <t>Operations Staff</t>
        </is>
      </c>
      <c r="D15" s="30" t="n">
        <v>4</v>
      </c>
      <c r="E15" s="30" t="n">
        <v>1</v>
      </c>
      <c r="F15" s="30" t="n">
        <v>5</v>
      </c>
      <c r="G15" s="30" t="n">
        <v>1</v>
      </c>
      <c r="H15" s="30" t="n">
        <v>4</v>
      </c>
      <c r="I15" s="30" t="n">
        <v>2</v>
      </c>
      <c r="J15" s="30" t="n">
        <v>4</v>
      </c>
      <c r="K15" s="30" t="n">
        <v>2</v>
      </c>
      <c r="L15" s="30" t="n">
        <v>4</v>
      </c>
      <c r="M15" s="30" t="n">
        <v>1</v>
      </c>
    </row>
    <row r="16">
      <c r="A16" s="23" t="n">
        <v>12</v>
      </c>
      <c r="B16" s="29" t="inlineStr">
        <is>
          <t>P12</t>
        </is>
      </c>
      <c r="C16" s="23" t="inlineStr">
        <is>
          <t>Tenant Representative</t>
        </is>
      </c>
      <c r="D16" s="30" t="n">
        <v>4</v>
      </c>
      <c r="E16" s="30" t="n">
        <v>1</v>
      </c>
      <c r="F16" s="30" t="n">
        <v>5</v>
      </c>
      <c r="G16" s="30" t="n">
        <v>2</v>
      </c>
      <c r="H16" s="30" t="n">
        <v>5</v>
      </c>
      <c r="I16" s="30" t="n">
        <v>2</v>
      </c>
      <c r="J16" s="30" t="n">
        <v>4</v>
      </c>
      <c r="K16" s="30" t="n">
        <v>1</v>
      </c>
      <c r="L16" s="30" t="n">
        <v>4</v>
      </c>
      <c r="M16" s="30" t="n">
        <v>2</v>
      </c>
    </row>
    <row r="17">
      <c r="A17" t="inlineStr">
        <is>
          <t>⚠  Fill in each cell with the participant's actual response (integer 1–5). Scores in 'SUS Score Calculation' update automatically.</t>
        </is>
      </c>
    </row>
    <row r="21" ht="15.75" customHeight="1" s="54"/>
    <row r="22" ht="15.75" customHeight="1" s="54"/>
    <row r="23" ht="15.75" customHeight="1" s="54"/>
    <row r="24" ht="15.75" customHeight="1" s="54"/>
    <row r="25" ht="15.75" customHeight="1" s="54"/>
    <row r="26" ht="15.75" customHeight="1" s="54"/>
    <row r="27" ht="15.75" customHeight="1" s="54"/>
    <row r="28" ht="15.75" customHeight="1" s="54"/>
    <row r="29" ht="15.75" customHeight="1" s="54"/>
    <row r="30" ht="15.75" customHeight="1" s="54"/>
    <row r="31" ht="15.75" customHeight="1" s="54"/>
    <row r="32" ht="15.75" customHeight="1" s="54"/>
    <row r="33" ht="15.75" customHeight="1" s="54"/>
    <row r="34" ht="15.75" customHeight="1" s="54"/>
    <row r="35" ht="15.75" customHeight="1" s="54"/>
    <row r="36" ht="15.75" customHeight="1" s="54"/>
    <row r="37" ht="15.75" customHeight="1" s="54"/>
    <row r="38" ht="15.75" customHeight="1" s="54"/>
    <row r="39" ht="15.75" customHeight="1" s="54"/>
    <row r="40" ht="15.75" customHeight="1" s="54"/>
    <row r="41" ht="15.75" customHeight="1" s="54"/>
    <row r="42" ht="15.75" customHeight="1" s="54"/>
    <row r="43" ht="15.75" customHeight="1" s="54"/>
    <row r="44" ht="15.75" customHeight="1" s="54"/>
    <row r="45" ht="15.75" customHeight="1" s="54"/>
    <row r="46" ht="15.75" customHeight="1" s="54"/>
    <row r="47" ht="15.75" customHeight="1" s="54"/>
    <row r="48" ht="15.75" customHeight="1" s="54"/>
    <row r="49" ht="15.75" customHeight="1" s="54"/>
    <row r="50" ht="15.75" customHeight="1" s="54"/>
    <row r="51" ht="15.75" customHeight="1" s="54"/>
    <row r="52" ht="15.75" customHeight="1" s="54"/>
    <row r="53" ht="15.75" customHeight="1" s="54"/>
    <row r="54" ht="15.75" customHeight="1" s="54"/>
    <row r="55" ht="15.75" customHeight="1" s="54"/>
    <row r="56" ht="15.75" customHeight="1" s="54"/>
    <row r="57" ht="15.75" customHeight="1" s="54"/>
    <row r="58" ht="15.75" customHeight="1" s="54"/>
    <row r="59" ht="15.75" customHeight="1" s="54"/>
    <row r="60" ht="15.75" customHeight="1" s="54"/>
    <row r="61" ht="15.75" customHeight="1" s="54"/>
    <row r="62" ht="15.75" customHeight="1" s="54"/>
    <row r="63" ht="15.75" customHeight="1" s="54"/>
    <row r="64" ht="15.75" customHeight="1" s="54"/>
    <row r="65" ht="15.75" customHeight="1" s="54"/>
    <row r="66" ht="15.75" customHeight="1" s="54"/>
    <row r="67" ht="15.75" customHeight="1" s="54"/>
    <row r="68" ht="15.75" customHeight="1" s="54"/>
    <row r="69" ht="15.75" customHeight="1" s="54"/>
    <row r="70" ht="15.75" customHeight="1" s="54"/>
    <row r="71" ht="15.75" customHeight="1" s="54"/>
    <row r="72" ht="15.75" customHeight="1" s="54"/>
    <row r="73" ht="15.75" customHeight="1" s="54"/>
    <row r="74" ht="15.75" customHeight="1" s="54"/>
    <row r="75" ht="15.75" customHeight="1" s="54"/>
    <row r="76" ht="15.75" customHeight="1" s="54"/>
    <row r="77" ht="15.75" customHeight="1" s="54"/>
    <row r="78" ht="15.75" customHeight="1" s="54"/>
    <row r="79" ht="15.75" customHeight="1" s="54"/>
    <row r="80" ht="15.75" customHeight="1" s="54"/>
    <row r="81" ht="15.75" customHeight="1" s="54"/>
    <row r="82" ht="15.75" customHeight="1" s="54"/>
    <row r="83" ht="15.75" customHeight="1" s="54"/>
    <row r="84" ht="15.75" customHeight="1" s="54"/>
    <row r="85" ht="15.75" customHeight="1" s="54"/>
    <row r="86" ht="15.75" customHeight="1" s="54"/>
    <row r="87" ht="15.75" customHeight="1" s="54"/>
    <row r="88" ht="15.75" customHeight="1" s="54"/>
    <row r="89" ht="15.75" customHeight="1" s="54"/>
    <row r="90" ht="15.75" customHeight="1" s="54"/>
    <row r="91" ht="15.75" customHeight="1" s="54"/>
    <row r="92" ht="15.75" customHeight="1" s="54"/>
    <row r="93" ht="15.75" customHeight="1" s="54"/>
    <row r="94" ht="15.75" customHeight="1" s="54"/>
    <row r="95" ht="15.75" customHeight="1" s="54"/>
    <row r="96" ht="15.75" customHeight="1" s="54"/>
    <row r="97" ht="15.75" customHeight="1" s="54"/>
    <row r="98" ht="15.75" customHeight="1" s="54"/>
    <row r="99" ht="15.75" customHeight="1" s="54"/>
    <row r="100" ht="15.75" customHeight="1" s="54"/>
    <row r="101" ht="15.75" customHeight="1" s="54"/>
    <row r="102" ht="15.75" customHeight="1" s="54"/>
    <row r="103" ht="15.75" customHeight="1" s="54"/>
    <row r="104" ht="15.75" customHeight="1" s="54"/>
    <row r="105" ht="15.75" customHeight="1" s="54"/>
    <row r="106" ht="15.75" customHeight="1" s="54"/>
    <row r="107" ht="15.75" customHeight="1" s="54"/>
    <row r="108" ht="15.75" customHeight="1" s="54"/>
    <row r="109" ht="15.75" customHeight="1" s="54"/>
    <row r="110" ht="15.75" customHeight="1" s="54"/>
    <row r="111" ht="15.75" customHeight="1" s="54"/>
    <row r="112" ht="15.75" customHeight="1" s="54"/>
    <row r="113" ht="15.75" customHeight="1" s="54"/>
    <row r="114" ht="15.75" customHeight="1" s="54"/>
    <row r="115" ht="15.75" customHeight="1" s="54"/>
    <row r="116" ht="15.75" customHeight="1" s="54"/>
    <row r="117" ht="15.75" customHeight="1" s="54"/>
    <row r="118" ht="15.75" customHeight="1" s="54"/>
    <row r="119" ht="15.75" customHeight="1" s="54"/>
    <row r="120" ht="15.75" customHeight="1" s="54"/>
    <row r="121" ht="15.75" customHeight="1" s="54"/>
    <row r="122" ht="15.75" customHeight="1" s="54"/>
    <row r="123" ht="15.75" customHeight="1" s="54"/>
    <row r="124" ht="15.75" customHeight="1" s="54"/>
    <row r="125" ht="15.75" customHeight="1" s="54"/>
    <row r="126" ht="15.75" customHeight="1" s="54"/>
    <row r="127" ht="15.75" customHeight="1" s="54"/>
    <row r="128" ht="15.75" customHeight="1" s="54"/>
    <row r="129" ht="15.75" customHeight="1" s="54"/>
    <row r="130" ht="15.75" customHeight="1" s="54"/>
    <row r="131" ht="15.75" customHeight="1" s="54"/>
    <row r="132" ht="15.75" customHeight="1" s="54"/>
    <row r="133" ht="15.75" customHeight="1" s="54"/>
    <row r="134" ht="15.75" customHeight="1" s="54"/>
    <row r="135" ht="15.75" customHeight="1" s="54"/>
    <row r="136" ht="15.75" customHeight="1" s="54"/>
    <row r="137" ht="15.75" customHeight="1" s="54"/>
    <row r="138" ht="15.75" customHeight="1" s="54"/>
    <row r="139" ht="15.75" customHeight="1" s="54"/>
    <row r="140" ht="15.75" customHeight="1" s="54"/>
    <row r="141" ht="15.75" customHeight="1" s="54"/>
    <row r="142" ht="15.75" customHeight="1" s="54"/>
    <row r="143" ht="15.75" customHeight="1" s="54"/>
    <row r="144" ht="15.75" customHeight="1" s="54"/>
    <row r="145" ht="15.75" customHeight="1" s="54"/>
    <row r="146" ht="15.75" customHeight="1" s="54"/>
    <row r="147" ht="15.75" customHeight="1" s="54"/>
    <row r="148" ht="15.75" customHeight="1" s="54"/>
    <row r="149" ht="15.75" customHeight="1" s="54"/>
    <row r="150" ht="15.75" customHeight="1" s="54"/>
    <row r="151" ht="15.75" customHeight="1" s="54"/>
    <row r="152" ht="15.75" customHeight="1" s="54"/>
    <row r="153" ht="15.75" customHeight="1" s="54"/>
    <row r="154" ht="15.75" customHeight="1" s="54"/>
    <row r="155" ht="15.75" customHeight="1" s="54"/>
    <row r="156" ht="15.75" customHeight="1" s="54"/>
    <row r="157" ht="15.75" customHeight="1" s="54"/>
    <row r="158" ht="15.75" customHeight="1" s="54"/>
    <row r="159" ht="15.75" customHeight="1" s="54"/>
    <row r="160" ht="15.75" customHeight="1" s="54"/>
    <row r="161" ht="15.75" customHeight="1" s="54"/>
    <row r="162" ht="15.75" customHeight="1" s="54"/>
    <row r="163" ht="15.75" customHeight="1" s="54"/>
    <row r="164" ht="15.75" customHeight="1" s="54"/>
    <row r="165" ht="15.75" customHeight="1" s="54"/>
    <row r="166" ht="15.75" customHeight="1" s="54"/>
    <row r="167" ht="15.75" customHeight="1" s="54"/>
    <row r="168" ht="15.75" customHeight="1" s="54"/>
    <row r="169" ht="15.75" customHeight="1" s="54"/>
    <row r="170" ht="15.75" customHeight="1" s="54"/>
    <row r="171" ht="15.75" customHeight="1" s="54"/>
    <row r="172" ht="15.75" customHeight="1" s="54"/>
    <row r="173" ht="15.75" customHeight="1" s="54"/>
    <row r="174" ht="15.75" customHeight="1" s="54"/>
    <row r="175" ht="15.75" customHeight="1" s="54"/>
    <row r="176" ht="15.75" customHeight="1" s="54"/>
    <row r="177" ht="15.75" customHeight="1" s="54"/>
    <row r="178" ht="15.75" customHeight="1" s="54"/>
    <row r="179" ht="15.75" customHeight="1" s="54"/>
    <row r="180" ht="15.75" customHeight="1" s="54"/>
    <row r="181" ht="15.75" customHeight="1" s="54"/>
    <row r="182" ht="15.75" customHeight="1" s="54"/>
    <row r="183" ht="15.75" customHeight="1" s="54"/>
    <row r="184" ht="15.75" customHeight="1" s="54"/>
    <row r="185" ht="15.75" customHeight="1" s="54"/>
    <row r="186" ht="15.75" customHeight="1" s="54"/>
    <row r="187" ht="15.75" customHeight="1" s="54"/>
    <row r="188" ht="15.75" customHeight="1" s="54"/>
    <row r="189" ht="15.75" customHeight="1" s="54"/>
    <row r="190" ht="15.75" customHeight="1" s="54"/>
    <row r="191" ht="15.75" customHeight="1" s="54"/>
    <row r="192" ht="15.75" customHeight="1" s="54"/>
    <row r="193" ht="15.75" customHeight="1" s="54"/>
    <row r="194" ht="15.75" customHeight="1" s="54"/>
    <row r="195" ht="15.75" customHeight="1" s="54"/>
    <row r="196" ht="15.75" customHeight="1" s="54"/>
    <row r="197" ht="15.75" customHeight="1" s="54"/>
    <row r="198" ht="15.75" customHeight="1" s="54"/>
    <row r="199" ht="15.75" customHeight="1" s="54"/>
    <row r="200" ht="15.75" customHeight="1" s="54"/>
    <row r="201" ht="15.75" customHeight="1" s="54"/>
    <row r="202" ht="15.75" customHeight="1" s="54"/>
    <row r="203" ht="15.75" customHeight="1" s="54"/>
    <row r="204" ht="15.75" customHeight="1" s="54"/>
    <row r="205" ht="15.75" customHeight="1" s="54"/>
    <row r="206" ht="15.75" customHeight="1" s="54"/>
    <row r="207" ht="15.75" customHeight="1" s="54"/>
    <row r="208" ht="15.75" customHeight="1" s="54"/>
    <row r="209" ht="15.75" customHeight="1" s="54"/>
    <row r="210" ht="15.75" customHeight="1" s="54"/>
    <row r="211" ht="15.75" customHeight="1" s="54"/>
    <row r="212" ht="15.75" customHeight="1" s="54"/>
    <row r="213" ht="15.75" customHeight="1" s="54"/>
    <row r="214" ht="15.75" customHeight="1" s="54"/>
    <row r="215" ht="15.75" customHeight="1" s="54"/>
    <row r="216" ht="15.75" customHeight="1" s="54"/>
    <row r="217" ht="15.75" customHeight="1" s="54"/>
    <row r="218" ht="15.75" customHeight="1" s="54"/>
    <row r="219" ht="15.75" customHeight="1" s="54"/>
    <row r="220" ht="15.75" customHeight="1" s="54"/>
    <row r="221" ht="15.75" customHeight="1" s="54"/>
    <row r="222" ht="15.75" customHeight="1" s="54"/>
    <row r="223" ht="15.75" customHeight="1" s="54"/>
    <row r="224" ht="15.75" customHeight="1" s="54"/>
    <row r="225" ht="15.75" customHeight="1" s="54"/>
    <row r="226" ht="15.75" customHeight="1" s="54"/>
    <row r="227" ht="15.75" customHeight="1" s="54"/>
    <row r="228" ht="15.75" customHeight="1" s="54"/>
    <row r="229" ht="15.75" customHeight="1" s="54"/>
    <row r="230" ht="15.75" customHeight="1" s="54"/>
    <row r="231" ht="15.75" customHeight="1" s="54"/>
    <row r="232" ht="15.75" customHeight="1" s="54"/>
    <row r="233" ht="15.75" customHeight="1" s="54"/>
    <row r="234" ht="15.75" customHeight="1" s="54"/>
    <row r="235" ht="15.75" customHeight="1" s="54"/>
    <row r="236" ht="15.75" customHeight="1" s="54"/>
    <row r="237" ht="15.75" customHeight="1" s="54"/>
    <row r="238" ht="15.75" customHeight="1" s="54"/>
    <row r="239" ht="15.75" customHeight="1" s="54"/>
    <row r="240" ht="15.75" customHeight="1" s="54"/>
    <row r="241" ht="15.75" customHeight="1" s="54"/>
    <row r="242" ht="15.75" customHeight="1" s="54"/>
    <row r="243" ht="15.75" customHeight="1" s="54"/>
    <row r="244" ht="15.75" customHeight="1" s="54"/>
    <row r="245" ht="15.75" customHeight="1" s="54"/>
    <row r="246" ht="15.75" customHeight="1" s="54"/>
    <row r="247" ht="15.75" customHeight="1" s="54"/>
    <row r="248" ht="15.75" customHeight="1" s="54"/>
    <row r="249" ht="15.75" customHeight="1" s="54"/>
    <row r="250" ht="15.75" customHeight="1" s="54"/>
    <row r="251" ht="15.75" customHeight="1" s="54"/>
    <row r="252" ht="15.75" customHeight="1" s="54"/>
    <row r="253" ht="15.75" customHeight="1" s="54"/>
    <row r="254" ht="15.75" customHeight="1" s="54"/>
    <row r="255" ht="15.75" customHeight="1" s="54"/>
    <row r="256" ht="15.75" customHeight="1" s="54"/>
    <row r="257" ht="15.75" customHeight="1" s="54"/>
    <row r="258" ht="15.75" customHeight="1" s="54"/>
    <row r="259" ht="15.75" customHeight="1" s="54"/>
    <row r="260" ht="15.75" customHeight="1" s="54"/>
    <row r="261" ht="15.75" customHeight="1" s="54"/>
    <row r="262" ht="15.75" customHeight="1" s="54"/>
    <row r="263" ht="15.75" customHeight="1" s="54"/>
    <row r="264" ht="15.75" customHeight="1" s="54"/>
    <row r="265" ht="15.75" customHeight="1" s="54"/>
    <row r="266" ht="15.75" customHeight="1" s="54"/>
    <row r="267" ht="15.75" customHeight="1" s="54"/>
    <row r="268" ht="15.75" customHeight="1" s="54"/>
    <row r="269" ht="15.75" customHeight="1" s="54"/>
    <row r="270" ht="15.75" customHeight="1" s="54"/>
    <row r="271" ht="15.75" customHeight="1" s="54"/>
    <row r="272" ht="15.75" customHeight="1" s="54"/>
    <row r="273" ht="15.75" customHeight="1" s="54"/>
    <row r="274" ht="15.75" customHeight="1" s="54"/>
    <row r="275" ht="15.75" customHeight="1" s="54"/>
    <row r="276" ht="15.75" customHeight="1" s="54"/>
    <row r="277" ht="15.75" customHeight="1" s="54"/>
    <row r="278" ht="15.75" customHeight="1" s="54"/>
    <row r="279" ht="15.75" customHeight="1" s="54"/>
    <row r="280" ht="15.75" customHeight="1" s="54"/>
    <row r="281" ht="15.75" customHeight="1" s="54"/>
    <row r="282" ht="15.75" customHeight="1" s="54"/>
    <row r="283" ht="15.75" customHeight="1" s="54"/>
    <row r="284" ht="15.75" customHeight="1" s="54"/>
    <row r="285" ht="15.75" customHeight="1" s="54"/>
    <row r="286" ht="15.75" customHeight="1" s="54"/>
    <row r="287" ht="15.75" customHeight="1" s="54"/>
    <row r="288" ht="15.75" customHeight="1" s="54"/>
    <row r="289" ht="15.75" customHeight="1" s="54"/>
    <row r="290" ht="15.75" customHeight="1" s="54"/>
    <row r="291" ht="15.75" customHeight="1" s="54"/>
    <row r="292" ht="15.75" customHeight="1" s="54"/>
    <row r="293" ht="15.75" customHeight="1" s="54"/>
    <row r="294" ht="15.75" customHeight="1" s="54"/>
    <row r="295" ht="15.75" customHeight="1" s="54"/>
    <row r="296" ht="15.75" customHeight="1" s="54"/>
    <row r="297" ht="15.75" customHeight="1" s="54"/>
    <row r="298" ht="15.75" customHeight="1" s="54"/>
    <row r="299" ht="15.75" customHeight="1" s="54"/>
    <row r="300" ht="15.75" customHeight="1" s="54"/>
    <row r="301" ht="15.75" customHeight="1" s="54"/>
    <row r="302" ht="15.75" customHeight="1" s="54"/>
    <row r="303" ht="15.75" customHeight="1" s="54"/>
    <row r="304" ht="15.75" customHeight="1" s="54"/>
    <row r="305" ht="15.75" customHeight="1" s="54"/>
    <row r="306" ht="15.75" customHeight="1" s="54"/>
    <row r="307" ht="15.75" customHeight="1" s="54"/>
    <row r="308" ht="15.75" customHeight="1" s="54"/>
    <row r="309" ht="15.75" customHeight="1" s="54"/>
    <row r="310" ht="15.75" customHeight="1" s="54"/>
    <row r="311" ht="15.75" customHeight="1" s="54"/>
    <row r="312" ht="15.75" customHeight="1" s="54"/>
    <row r="313" ht="15.75" customHeight="1" s="54"/>
    <row r="314" ht="15.75" customHeight="1" s="54"/>
    <row r="315" ht="15.75" customHeight="1" s="54"/>
    <row r="316" ht="15.75" customHeight="1" s="54"/>
    <row r="317" ht="15.75" customHeight="1" s="54"/>
    <row r="318" ht="15.75" customHeight="1" s="54"/>
    <row r="319" ht="15.75" customHeight="1" s="54"/>
    <row r="320" ht="15.75" customHeight="1" s="54"/>
    <row r="321" ht="15.75" customHeight="1" s="54"/>
    <row r="322" ht="15.75" customHeight="1" s="54"/>
    <row r="323" ht="15.75" customHeight="1" s="54"/>
    <row r="324" ht="15.75" customHeight="1" s="54"/>
    <row r="325" ht="15.75" customHeight="1" s="54"/>
    <row r="326" ht="15.75" customHeight="1" s="54"/>
    <row r="327" ht="15.75" customHeight="1" s="54"/>
    <row r="328" ht="15.75" customHeight="1" s="54"/>
    <row r="329" ht="15.75" customHeight="1" s="54"/>
    <row r="330" ht="15.75" customHeight="1" s="54"/>
    <row r="331" ht="15.75" customHeight="1" s="54"/>
    <row r="332" ht="15.75" customHeight="1" s="54"/>
    <row r="333" ht="15.75" customHeight="1" s="54"/>
    <row r="334" ht="15.75" customHeight="1" s="54"/>
    <row r="335" ht="15.75" customHeight="1" s="54"/>
    <row r="336" ht="15.75" customHeight="1" s="54"/>
    <row r="337" ht="15.75" customHeight="1" s="54"/>
    <row r="338" ht="15.75" customHeight="1" s="54"/>
    <row r="339" ht="15.75" customHeight="1" s="54"/>
    <row r="340" ht="15.75" customHeight="1" s="54"/>
    <row r="341" ht="15.75" customHeight="1" s="54"/>
    <row r="342" ht="15.75" customHeight="1" s="54"/>
    <row r="343" ht="15.75" customHeight="1" s="54"/>
    <row r="344" ht="15.75" customHeight="1" s="54"/>
    <row r="345" ht="15.75" customHeight="1" s="54"/>
    <row r="346" ht="15.75" customHeight="1" s="54"/>
    <row r="347" ht="15.75" customHeight="1" s="54"/>
    <row r="348" ht="15.75" customHeight="1" s="54"/>
    <row r="349" ht="15.75" customHeight="1" s="54"/>
    <row r="350" ht="15.75" customHeight="1" s="54"/>
    <row r="351" ht="15.75" customHeight="1" s="54"/>
    <row r="352" ht="15.75" customHeight="1" s="54"/>
    <row r="353" ht="15.75" customHeight="1" s="54"/>
    <row r="354" ht="15.75" customHeight="1" s="54"/>
    <row r="355" ht="15.75" customHeight="1" s="54"/>
    <row r="356" ht="15.75" customHeight="1" s="54"/>
    <row r="357" ht="15.75" customHeight="1" s="54"/>
    <row r="358" ht="15.75" customHeight="1" s="54"/>
    <row r="359" ht="15.75" customHeight="1" s="54"/>
    <row r="360" ht="15.75" customHeight="1" s="54"/>
    <row r="361" ht="15.75" customHeight="1" s="54"/>
    <row r="362" ht="15.75" customHeight="1" s="54"/>
    <row r="363" ht="15.75" customHeight="1" s="54"/>
    <row r="364" ht="15.75" customHeight="1" s="54"/>
    <row r="365" ht="15.75" customHeight="1" s="54"/>
    <row r="366" ht="15.75" customHeight="1" s="54"/>
    <row r="367" ht="15.75" customHeight="1" s="54"/>
    <row r="368" ht="15.75" customHeight="1" s="54"/>
    <row r="369" ht="15.75" customHeight="1" s="54"/>
    <row r="370" ht="15.75" customHeight="1" s="54"/>
    <row r="371" ht="15.75" customHeight="1" s="54"/>
    <row r="372" ht="15.75" customHeight="1" s="54"/>
    <row r="373" ht="15.75" customHeight="1" s="54"/>
    <row r="374" ht="15.75" customHeight="1" s="54"/>
    <row r="375" ht="15.75" customHeight="1" s="54"/>
    <row r="376" ht="15.75" customHeight="1" s="54"/>
    <row r="377" ht="15.75" customHeight="1" s="54"/>
    <row r="378" ht="15.75" customHeight="1" s="54"/>
    <row r="379" ht="15.75" customHeight="1" s="54"/>
    <row r="380" ht="15.75" customHeight="1" s="54"/>
    <row r="381" ht="15.75" customHeight="1" s="54"/>
    <row r="382" ht="15.75" customHeight="1" s="54"/>
    <row r="383" ht="15.75" customHeight="1" s="54"/>
    <row r="384" ht="15.75" customHeight="1" s="54"/>
    <row r="385" ht="15.75" customHeight="1" s="54"/>
    <row r="386" ht="15.75" customHeight="1" s="54"/>
    <row r="387" ht="15.75" customHeight="1" s="54"/>
    <row r="388" ht="15.75" customHeight="1" s="54"/>
    <row r="389" ht="15.75" customHeight="1" s="54"/>
    <row r="390" ht="15.75" customHeight="1" s="54"/>
    <row r="391" ht="15.75" customHeight="1" s="54"/>
    <row r="392" ht="15.75" customHeight="1" s="54"/>
    <row r="393" ht="15.75" customHeight="1" s="54"/>
    <row r="394" ht="15.75" customHeight="1" s="54"/>
    <row r="395" ht="15.75" customHeight="1" s="54"/>
    <row r="396" ht="15.75" customHeight="1" s="54"/>
    <row r="397" ht="15.75" customHeight="1" s="54"/>
    <row r="398" ht="15.75" customHeight="1" s="54"/>
    <row r="399" ht="15.75" customHeight="1" s="54"/>
    <row r="400" ht="15.75" customHeight="1" s="54"/>
    <row r="401" ht="15.75" customHeight="1" s="54"/>
    <row r="402" ht="15.75" customHeight="1" s="54"/>
    <row r="403" ht="15.75" customHeight="1" s="54"/>
    <row r="404" ht="15.75" customHeight="1" s="54"/>
    <row r="405" ht="15.75" customHeight="1" s="54"/>
    <row r="406" ht="15.75" customHeight="1" s="54"/>
    <row r="407" ht="15.75" customHeight="1" s="54"/>
    <row r="408" ht="15.75" customHeight="1" s="54"/>
    <row r="409" ht="15.75" customHeight="1" s="54"/>
    <row r="410" ht="15.75" customHeight="1" s="54"/>
    <row r="411" ht="15.75" customHeight="1" s="54"/>
    <row r="412" ht="15.75" customHeight="1" s="54"/>
    <row r="413" ht="15.75" customHeight="1" s="54"/>
    <row r="414" ht="15.75" customHeight="1" s="54"/>
    <row r="415" ht="15.75" customHeight="1" s="54"/>
    <row r="416" ht="15.75" customHeight="1" s="54"/>
    <row r="417" ht="15.75" customHeight="1" s="54"/>
    <row r="418" ht="15.75" customHeight="1" s="54"/>
    <row r="419" ht="15.75" customHeight="1" s="54"/>
    <row r="420" ht="15.75" customHeight="1" s="54"/>
    <row r="421" ht="15.75" customHeight="1" s="54"/>
    <row r="422" ht="15.75" customHeight="1" s="54"/>
    <row r="423" ht="15.75" customHeight="1" s="54"/>
    <row r="424" ht="15.75" customHeight="1" s="54"/>
    <row r="425" ht="15.75" customHeight="1" s="54"/>
    <row r="426" ht="15.75" customHeight="1" s="54"/>
    <row r="427" ht="15.75" customHeight="1" s="54"/>
    <row r="428" ht="15.75" customHeight="1" s="54"/>
    <row r="429" ht="15.75" customHeight="1" s="54"/>
    <row r="430" ht="15.75" customHeight="1" s="54"/>
    <row r="431" ht="15.75" customHeight="1" s="54"/>
    <row r="432" ht="15.75" customHeight="1" s="54"/>
    <row r="433" ht="15.75" customHeight="1" s="54"/>
    <row r="434" ht="15.75" customHeight="1" s="54"/>
    <row r="435" ht="15.75" customHeight="1" s="54"/>
    <row r="436" ht="15.75" customHeight="1" s="54"/>
    <row r="437" ht="15.75" customHeight="1" s="54"/>
    <row r="438" ht="15.75" customHeight="1" s="54"/>
    <row r="439" ht="15.75" customHeight="1" s="54"/>
    <row r="440" ht="15.75" customHeight="1" s="54"/>
    <row r="441" ht="15.75" customHeight="1" s="54"/>
    <row r="442" ht="15.75" customHeight="1" s="54"/>
    <row r="443" ht="15.75" customHeight="1" s="54"/>
    <row r="444" ht="15.75" customHeight="1" s="54"/>
    <row r="445" ht="15.75" customHeight="1" s="54"/>
    <row r="446" ht="15.75" customHeight="1" s="54"/>
    <row r="447" ht="15.75" customHeight="1" s="54"/>
    <row r="448" ht="15.75" customHeight="1" s="54"/>
    <row r="449" ht="15.75" customHeight="1" s="54"/>
    <row r="450" ht="15.75" customHeight="1" s="54"/>
    <row r="451" ht="15.75" customHeight="1" s="54"/>
    <row r="452" ht="15.75" customHeight="1" s="54"/>
    <row r="453" ht="15.75" customHeight="1" s="54"/>
    <row r="454" ht="15.75" customHeight="1" s="54"/>
    <row r="455" ht="15.75" customHeight="1" s="54"/>
    <row r="456" ht="15.75" customHeight="1" s="54"/>
    <row r="457" ht="15.75" customHeight="1" s="54"/>
    <row r="458" ht="15.75" customHeight="1" s="54"/>
    <row r="459" ht="15.75" customHeight="1" s="54"/>
    <row r="460" ht="15.75" customHeight="1" s="54"/>
    <row r="461" ht="15.75" customHeight="1" s="54"/>
    <row r="462" ht="15.75" customHeight="1" s="54"/>
    <row r="463" ht="15.75" customHeight="1" s="54"/>
    <row r="464" ht="15.75" customHeight="1" s="54"/>
    <row r="465" ht="15.75" customHeight="1" s="54"/>
    <row r="466" ht="15.75" customHeight="1" s="54"/>
    <row r="467" ht="15.75" customHeight="1" s="54"/>
    <row r="468" ht="15.75" customHeight="1" s="54"/>
    <row r="469" ht="15.75" customHeight="1" s="54"/>
    <row r="470" ht="15.75" customHeight="1" s="54"/>
    <row r="471" ht="15.75" customHeight="1" s="54"/>
    <row r="472" ht="15.75" customHeight="1" s="54"/>
    <row r="473" ht="15.75" customHeight="1" s="54"/>
    <row r="474" ht="15.75" customHeight="1" s="54"/>
    <row r="475" ht="15.75" customHeight="1" s="54"/>
    <row r="476" ht="15.75" customHeight="1" s="54"/>
    <row r="477" ht="15.75" customHeight="1" s="54"/>
    <row r="478" ht="15.75" customHeight="1" s="54"/>
    <row r="479" ht="15.75" customHeight="1" s="54"/>
    <row r="480" ht="15.75" customHeight="1" s="54"/>
    <row r="481" ht="15.75" customHeight="1" s="54"/>
    <row r="482" ht="15.75" customHeight="1" s="54"/>
    <row r="483" ht="15.75" customHeight="1" s="54"/>
    <row r="484" ht="15.75" customHeight="1" s="54"/>
    <row r="485" ht="15.75" customHeight="1" s="54"/>
    <row r="486" ht="15.75" customHeight="1" s="54"/>
    <row r="487" ht="15.75" customHeight="1" s="54"/>
    <row r="488" ht="15.75" customHeight="1" s="54"/>
    <row r="489" ht="15.75" customHeight="1" s="54"/>
    <row r="490" ht="15.75" customHeight="1" s="54"/>
    <row r="491" ht="15.75" customHeight="1" s="54"/>
    <row r="492" ht="15.75" customHeight="1" s="54"/>
    <row r="493" ht="15.75" customHeight="1" s="54"/>
    <row r="494" ht="15.75" customHeight="1" s="54"/>
    <row r="495" ht="15.75" customHeight="1" s="54"/>
    <row r="496" ht="15.75" customHeight="1" s="54"/>
    <row r="497" ht="15.75" customHeight="1" s="54"/>
    <row r="498" ht="15.75" customHeight="1" s="54"/>
    <row r="499" ht="15.75" customHeight="1" s="54"/>
    <row r="500" ht="15.75" customHeight="1" s="54"/>
    <row r="501" ht="15.75" customHeight="1" s="54"/>
    <row r="502" ht="15.75" customHeight="1" s="54"/>
    <row r="503" ht="15.75" customHeight="1" s="54"/>
    <row r="504" ht="15.75" customHeight="1" s="54"/>
    <row r="505" ht="15.75" customHeight="1" s="54"/>
    <row r="506" ht="15.75" customHeight="1" s="54"/>
    <row r="507" ht="15.75" customHeight="1" s="54"/>
    <row r="508" ht="15.75" customHeight="1" s="54"/>
    <row r="509" ht="15.75" customHeight="1" s="54"/>
    <row r="510" ht="15.75" customHeight="1" s="54"/>
    <row r="511" ht="15.75" customHeight="1" s="54"/>
    <row r="512" ht="15.75" customHeight="1" s="54"/>
    <row r="513" ht="15.75" customHeight="1" s="54"/>
    <row r="514" ht="15.75" customHeight="1" s="54"/>
    <row r="515" ht="15.75" customHeight="1" s="54"/>
    <row r="516" ht="15.75" customHeight="1" s="54"/>
    <row r="517" ht="15.75" customHeight="1" s="54"/>
    <row r="518" ht="15.75" customHeight="1" s="54"/>
    <row r="519" ht="15.75" customHeight="1" s="54"/>
    <row r="520" ht="15.75" customHeight="1" s="54"/>
    <row r="521" ht="15.75" customHeight="1" s="54"/>
    <row r="522" ht="15.75" customHeight="1" s="54"/>
    <row r="523" ht="15.75" customHeight="1" s="54"/>
    <row r="524" ht="15.75" customHeight="1" s="54"/>
    <row r="525" ht="15.75" customHeight="1" s="54"/>
    <row r="526" ht="15.75" customHeight="1" s="54"/>
    <row r="527" ht="15.75" customHeight="1" s="54"/>
    <row r="528" ht="15.75" customHeight="1" s="54"/>
    <row r="529" ht="15.75" customHeight="1" s="54"/>
    <row r="530" ht="15.75" customHeight="1" s="54"/>
    <row r="531" ht="15.75" customHeight="1" s="54"/>
    <row r="532" ht="15.75" customHeight="1" s="54"/>
    <row r="533" ht="15.75" customHeight="1" s="54"/>
    <row r="534" ht="15.75" customHeight="1" s="54"/>
    <row r="535" ht="15.75" customHeight="1" s="54"/>
    <row r="536" ht="15.75" customHeight="1" s="54"/>
    <row r="537" ht="15.75" customHeight="1" s="54"/>
    <row r="538" ht="15.75" customHeight="1" s="54"/>
    <row r="539" ht="15.75" customHeight="1" s="54"/>
    <row r="540" ht="15.75" customHeight="1" s="54"/>
    <row r="541" ht="15.75" customHeight="1" s="54"/>
    <row r="542" ht="15.75" customHeight="1" s="54"/>
    <row r="543" ht="15.75" customHeight="1" s="54"/>
    <row r="544" ht="15.75" customHeight="1" s="54"/>
    <row r="545" ht="15.75" customHeight="1" s="54"/>
    <row r="546" ht="15.75" customHeight="1" s="54"/>
    <row r="547" ht="15.75" customHeight="1" s="54"/>
    <row r="548" ht="15.75" customHeight="1" s="54"/>
    <row r="549" ht="15.75" customHeight="1" s="54"/>
    <row r="550" ht="15.75" customHeight="1" s="54"/>
    <row r="551" ht="15.75" customHeight="1" s="54"/>
    <row r="552" ht="15.75" customHeight="1" s="54"/>
    <row r="553" ht="15.75" customHeight="1" s="54"/>
    <row r="554" ht="15.75" customHeight="1" s="54"/>
    <row r="555" ht="15.75" customHeight="1" s="54"/>
    <row r="556" ht="15.75" customHeight="1" s="54"/>
    <row r="557" ht="15.75" customHeight="1" s="54"/>
    <row r="558" ht="15.75" customHeight="1" s="54"/>
    <row r="559" ht="15.75" customHeight="1" s="54"/>
    <row r="560" ht="15.75" customHeight="1" s="54"/>
    <row r="561" ht="15.75" customHeight="1" s="54"/>
    <row r="562" ht="15.75" customHeight="1" s="54"/>
    <row r="563" ht="15.75" customHeight="1" s="54"/>
    <row r="564" ht="15.75" customHeight="1" s="54"/>
    <row r="565" ht="15.75" customHeight="1" s="54"/>
    <row r="566" ht="15.75" customHeight="1" s="54"/>
    <row r="567" ht="15.75" customHeight="1" s="54"/>
    <row r="568" ht="15.75" customHeight="1" s="54"/>
    <row r="569" ht="15.75" customHeight="1" s="54"/>
    <row r="570" ht="15.75" customHeight="1" s="54"/>
    <row r="571" ht="15.75" customHeight="1" s="54"/>
    <row r="572" ht="15.75" customHeight="1" s="54"/>
    <row r="573" ht="15.75" customHeight="1" s="54"/>
    <row r="574" ht="15.75" customHeight="1" s="54"/>
    <row r="575" ht="15.75" customHeight="1" s="54"/>
    <row r="576" ht="15.75" customHeight="1" s="54"/>
    <row r="577" ht="15.75" customHeight="1" s="54"/>
    <row r="578" ht="15.75" customHeight="1" s="54"/>
    <row r="579" ht="15.75" customHeight="1" s="54"/>
    <row r="580" ht="15.75" customHeight="1" s="54"/>
    <row r="581" ht="15.75" customHeight="1" s="54"/>
    <row r="582" ht="15.75" customHeight="1" s="54"/>
    <row r="583" ht="15.75" customHeight="1" s="54"/>
    <row r="584" ht="15.75" customHeight="1" s="54"/>
    <row r="585" ht="15.75" customHeight="1" s="54"/>
    <row r="586" ht="15.75" customHeight="1" s="54"/>
    <row r="587" ht="15.75" customHeight="1" s="54"/>
    <row r="588" ht="15.75" customHeight="1" s="54"/>
    <row r="589" ht="15.75" customHeight="1" s="54"/>
    <row r="590" ht="15.75" customHeight="1" s="54"/>
    <row r="591" ht="15.75" customHeight="1" s="54"/>
    <row r="592" ht="15.75" customHeight="1" s="54"/>
    <row r="593" ht="15.75" customHeight="1" s="54"/>
    <row r="594" ht="15.75" customHeight="1" s="54"/>
    <row r="595" ht="15.75" customHeight="1" s="54"/>
    <row r="596" ht="15.75" customHeight="1" s="54"/>
    <row r="597" ht="15.75" customHeight="1" s="54"/>
    <row r="598" ht="15.75" customHeight="1" s="54"/>
    <row r="599" ht="15.75" customHeight="1" s="54"/>
    <row r="600" ht="15.75" customHeight="1" s="54"/>
    <row r="601" ht="15.75" customHeight="1" s="54"/>
    <row r="602" ht="15.75" customHeight="1" s="54"/>
    <row r="603" ht="15.75" customHeight="1" s="54"/>
    <row r="604" ht="15.75" customHeight="1" s="54"/>
    <row r="605" ht="15.75" customHeight="1" s="54"/>
    <row r="606" ht="15.75" customHeight="1" s="54"/>
    <row r="607" ht="15.75" customHeight="1" s="54"/>
    <row r="608" ht="15.75" customHeight="1" s="54"/>
    <row r="609" ht="15.75" customHeight="1" s="54"/>
    <row r="610" ht="15.75" customHeight="1" s="54"/>
    <row r="611" ht="15.75" customHeight="1" s="54"/>
    <row r="612" ht="15.75" customHeight="1" s="54"/>
    <row r="613" ht="15.75" customHeight="1" s="54"/>
    <row r="614" ht="15.75" customHeight="1" s="54"/>
    <row r="615" ht="15.75" customHeight="1" s="54"/>
    <row r="616" ht="15.75" customHeight="1" s="54"/>
    <row r="617" ht="15.75" customHeight="1" s="54"/>
    <row r="618" ht="15.75" customHeight="1" s="54"/>
    <row r="619" ht="15.75" customHeight="1" s="54"/>
    <row r="620" ht="15.75" customHeight="1" s="54"/>
    <row r="621" ht="15.75" customHeight="1" s="54"/>
    <row r="622" ht="15.75" customHeight="1" s="54"/>
    <row r="623" ht="15.75" customHeight="1" s="54"/>
    <row r="624" ht="15.75" customHeight="1" s="54"/>
    <row r="625" ht="15.75" customHeight="1" s="54"/>
    <row r="626" ht="15.75" customHeight="1" s="54"/>
    <row r="627" ht="15.75" customHeight="1" s="54"/>
    <row r="628" ht="15.75" customHeight="1" s="54"/>
    <row r="629" ht="15.75" customHeight="1" s="54"/>
    <row r="630" ht="15.75" customHeight="1" s="54"/>
    <row r="631" ht="15.75" customHeight="1" s="54"/>
    <row r="632" ht="15.75" customHeight="1" s="54"/>
    <row r="633" ht="15.75" customHeight="1" s="54"/>
    <row r="634" ht="15.75" customHeight="1" s="54"/>
    <row r="635" ht="15.75" customHeight="1" s="54"/>
    <row r="636" ht="15.75" customHeight="1" s="54"/>
    <row r="637" ht="15.75" customHeight="1" s="54"/>
    <row r="638" ht="15.75" customHeight="1" s="54"/>
    <row r="639" ht="15.75" customHeight="1" s="54"/>
    <row r="640" ht="15.75" customHeight="1" s="54"/>
    <row r="641" ht="15.75" customHeight="1" s="54"/>
    <row r="642" ht="15.75" customHeight="1" s="54"/>
    <row r="643" ht="15.75" customHeight="1" s="54"/>
    <row r="644" ht="15.75" customHeight="1" s="54"/>
    <row r="645" ht="15.75" customHeight="1" s="54"/>
    <row r="646" ht="15.75" customHeight="1" s="54"/>
    <row r="647" ht="15.75" customHeight="1" s="54"/>
    <row r="648" ht="15.75" customHeight="1" s="54"/>
    <row r="649" ht="15.75" customHeight="1" s="54"/>
    <row r="650" ht="15.75" customHeight="1" s="54"/>
    <row r="651" ht="15.75" customHeight="1" s="54"/>
    <row r="652" ht="15.75" customHeight="1" s="54"/>
    <row r="653" ht="15.75" customHeight="1" s="54"/>
    <row r="654" ht="15.75" customHeight="1" s="54"/>
    <row r="655" ht="15.75" customHeight="1" s="54"/>
    <row r="656" ht="15.75" customHeight="1" s="54"/>
    <row r="657" ht="15.75" customHeight="1" s="54"/>
    <row r="658" ht="15.75" customHeight="1" s="54"/>
    <row r="659" ht="15.75" customHeight="1" s="54"/>
    <row r="660" ht="15.75" customHeight="1" s="54"/>
    <row r="661" ht="15.75" customHeight="1" s="54"/>
    <row r="662" ht="15.75" customHeight="1" s="54"/>
    <row r="663" ht="15.75" customHeight="1" s="54"/>
    <row r="664" ht="15.75" customHeight="1" s="54"/>
    <row r="665" ht="15.75" customHeight="1" s="54"/>
    <row r="666" ht="15.75" customHeight="1" s="54"/>
    <row r="667" ht="15.75" customHeight="1" s="54"/>
    <row r="668" ht="15.75" customHeight="1" s="54"/>
    <row r="669" ht="15.75" customHeight="1" s="54"/>
    <row r="670" ht="15.75" customHeight="1" s="54"/>
    <row r="671" ht="15.75" customHeight="1" s="54"/>
    <row r="672" ht="15.75" customHeight="1" s="54"/>
    <row r="673" ht="15.75" customHeight="1" s="54"/>
    <row r="674" ht="15.75" customHeight="1" s="54"/>
    <row r="675" ht="15.75" customHeight="1" s="54"/>
    <row r="676" ht="15.75" customHeight="1" s="54"/>
    <row r="677" ht="15.75" customHeight="1" s="54"/>
    <row r="678" ht="15.75" customHeight="1" s="54"/>
    <row r="679" ht="15.75" customHeight="1" s="54"/>
    <row r="680" ht="15.75" customHeight="1" s="54"/>
    <row r="681" ht="15.75" customHeight="1" s="54"/>
    <row r="682" ht="15.75" customHeight="1" s="54"/>
    <row r="683" ht="15.75" customHeight="1" s="54"/>
    <row r="684" ht="15.75" customHeight="1" s="54"/>
    <row r="685" ht="15.75" customHeight="1" s="54"/>
    <row r="686" ht="15.75" customHeight="1" s="54"/>
    <row r="687" ht="15.75" customHeight="1" s="54"/>
    <row r="688" ht="15.75" customHeight="1" s="54"/>
    <row r="689" ht="15.75" customHeight="1" s="54"/>
    <row r="690" ht="15.75" customHeight="1" s="54"/>
    <row r="691" ht="15.75" customHeight="1" s="54"/>
    <row r="692" ht="15.75" customHeight="1" s="54"/>
    <row r="693" ht="15.75" customHeight="1" s="54"/>
    <row r="694" ht="15.75" customHeight="1" s="54"/>
    <row r="695" ht="15.75" customHeight="1" s="54"/>
    <row r="696" ht="15.75" customHeight="1" s="54"/>
    <row r="697" ht="15.75" customHeight="1" s="54"/>
    <row r="698" ht="15.75" customHeight="1" s="54"/>
    <row r="699" ht="15.75" customHeight="1" s="54"/>
    <row r="700" ht="15.75" customHeight="1" s="54"/>
    <row r="701" ht="15.75" customHeight="1" s="54"/>
    <row r="702" ht="15.75" customHeight="1" s="54"/>
    <row r="703" ht="15.75" customHeight="1" s="54"/>
    <row r="704" ht="15.75" customHeight="1" s="54"/>
    <row r="705" ht="15.75" customHeight="1" s="54"/>
    <row r="706" ht="15.75" customHeight="1" s="54"/>
    <row r="707" ht="15.75" customHeight="1" s="54"/>
    <row r="708" ht="15.75" customHeight="1" s="54"/>
    <row r="709" ht="15.75" customHeight="1" s="54"/>
    <row r="710" ht="15.75" customHeight="1" s="54"/>
    <row r="711" ht="15.75" customHeight="1" s="54"/>
    <row r="712" ht="15.75" customHeight="1" s="54"/>
    <row r="713" ht="15.75" customHeight="1" s="54"/>
    <row r="714" ht="15.75" customHeight="1" s="54"/>
    <row r="715" ht="15.75" customHeight="1" s="54"/>
    <row r="716" ht="15.75" customHeight="1" s="54"/>
    <row r="717" ht="15.75" customHeight="1" s="54"/>
    <row r="718" ht="15.75" customHeight="1" s="54"/>
    <row r="719" ht="15.75" customHeight="1" s="54"/>
    <row r="720" ht="15.75" customHeight="1" s="54"/>
    <row r="721" ht="15.75" customHeight="1" s="54"/>
    <row r="722" ht="15.75" customHeight="1" s="54"/>
    <row r="723" ht="15.75" customHeight="1" s="54"/>
    <row r="724" ht="15.75" customHeight="1" s="54"/>
    <row r="725" ht="15.75" customHeight="1" s="54"/>
    <row r="726" ht="15.75" customHeight="1" s="54"/>
    <row r="727" ht="15.75" customHeight="1" s="54"/>
    <row r="728" ht="15.75" customHeight="1" s="54"/>
    <row r="729" ht="15.75" customHeight="1" s="54"/>
    <row r="730" ht="15.75" customHeight="1" s="54"/>
    <row r="731" ht="15.75" customHeight="1" s="54"/>
    <row r="732" ht="15.75" customHeight="1" s="54"/>
    <row r="733" ht="15.75" customHeight="1" s="54"/>
    <row r="734" ht="15.75" customHeight="1" s="54"/>
    <row r="735" ht="15.75" customHeight="1" s="54"/>
    <row r="736" ht="15.75" customHeight="1" s="54"/>
    <row r="737" ht="15.75" customHeight="1" s="54"/>
    <row r="738" ht="15.75" customHeight="1" s="54"/>
    <row r="739" ht="15.75" customHeight="1" s="54"/>
    <row r="740" ht="15.75" customHeight="1" s="54"/>
    <row r="741" ht="15.75" customHeight="1" s="54"/>
    <row r="742" ht="15.75" customHeight="1" s="54"/>
    <row r="743" ht="15.75" customHeight="1" s="54"/>
    <row r="744" ht="15.75" customHeight="1" s="54"/>
    <row r="745" ht="15.75" customHeight="1" s="54"/>
    <row r="746" ht="15.75" customHeight="1" s="54"/>
    <row r="747" ht="15.75" customHeight="1" s="54"/>
    <row r="748" ht="15.75" customHeight="1" s="54"/>
    <row r="749" ht="15.75" customHeight="1" s="54"/>
    <row r="750" ht="15.75" customHeight="1" s="54"/>
    <row r="751" ht="15.75" customHeight="1" s="54"/>
    <row r="752" ht="15.75" customHeight="1" s="54"/>
    <row r="753" ht="15.75" customHeight="1" s="54"/>
    <row r="754" ht="15.75" customHeight="1" s="54"/>
    <row r="755" ht="15.75" customHeight="1" s="54"/>
    <row r="756" ht="15.75" customHeight="1" s="54"/>
    <row r="757" ht="15.75" customHeight="1" s="54"/>
    <row r="758" ht="15.75" customHeight="1" s="54"/>
    <row r="759" ht="15.75" customHeight="1" s="54"/>
    <row r="760" ht="15.75" customHeight="1" s="54"/>
    <row r="761" ht="15.75" customHeight="1" s="54"/>
    <row r="762" ht="15.75" customHeight="1" s="54"/>
    <row r="763" ht="15.75" customHeight="1" s="54"/>
    <row r="764" ht="15.75" customHeight="1" s="54"/>
    <row r="765" ht="15.75" customHeight="1" s="54"/>
    <row r="766" ht="15.75" customHeight="1" s="54"/>
    <row r="767" ht="15.75" customHeight="1" s="54"/>
    <row r="768" ht="15.75" customHeight="1" s="54"/>
    <row r="769" ht="15.75" customHeight="1" s="54"/>
    <row r="770" ht="15.75" customHeight="1" s="54"/>
    <row r="771" ht="15.75" customHeight="1" s="54"/>
    <row r="772" ht="15.75" customHeight="1" s="54"/>
    <row r="773" ht="15.75" customHeight="1" s="54"/>
    <row r="774" ht="15.75" customHeight="1" s="54"/>
    <row r="775" ht="15.75" customHeight="1" s="54"/>
    <row r="776" ht="15.75" customHeight="1" s="54"/>
    <row r="777" ht="15.75" customHeight="1" s="54"/>
    <row r="778" ht="15.75" customHeight="1" s="54"/>
    <row r="779" ht="15.75" customHeight="1" s="54"/>
    <row r="780" ht="15.75" customHeight="1" s="54"/>
    <row r="781" ht="15.75" customHeight="1" s="54"/>
    <row r="782" ht="15.75" customHeight="1" s="54"/>
    <row r="783" ht="15.75" customHeight="1" s="54"/>
    <row r="784" ht="15.75" customHeight="1" s="54"/>
    <row r="785" ht="15.75" customHeight="1" s="54"/>
    <row r="786" ht="15.75" customHeight="1" s="54"/>
    <row r="787" ht="15.75" customHeight="1" s="54"/>
    <row r="788" ht="15.75" customHeight="1" s="54"/>
    <row r="789" ht="15.75" customHeight="1" s="54"/>
    <row r="790" ht="15.75" customHeight="1" s="54"/>
    <row r="791" ht="15.75" customHeight="1" s="54"/>
    <row r="792" ht="15.75" customHeight="1" s="54"/>
    <row r="793" ht="15.75" customHeight="1" s="54"/>
    <row r="794" ht="15.75" customHeight="1" s="54"/>
    <row r="795" ht="15.75" customHeight="1" s="54"/>
    <row r="796" ht="15.75" customHeight="1" s="54"/>
    <row r="797" ht="15.75" customHeight="1" s="54"/>
    <row r="798" ht="15.75" customHeight="1" s="54"/>
    <row r="799" ht="15.75" customHeight="1" s="54"/>
    <row r="800" ht="15.75" customHeight="1" s="54"/>
    <row r="801" ht="15.75" customHeight="1" s="54"/>
    <row r="802" ht="15.75" customHeight="1" s="54"/>
    <row r="803" ht="15.75" customHeight="1" s="54"/>
    <row r="804" ht="15.75" customHeight="1" s="54"/>
    <row r="805" ht="15.75" customHeight="1" s="54"/>
    <row r="806" ht="15.75" customHeight="1" s="54"/>
    <row r="807" ht="15.75" customHeight="1" s="54"/>
    <row r="808" ht="15.75" customHeight="1" s="54"/>
    <row r="809" ht="15.75" customHeight="1" s="54"/>
    <row r="810" ht="15.75" customHeight="1" s="54"/>
    <row r="811" ht="15.75" customHeight="1" s="54"/>
    <row r="812" ht="15.75" customHeight="1" s="54"/>
    <row r="813" ht="15.75" customHeight="1" s="54"/>
    <row r="814" ht="15.75" customHeight="1" s="54"/>
    <row r="815" ht="15.75" customHeight="1" s="54"/>
    <row r="816" ht="15.75" customHeight="1" s="54"/>
    <row r="817" ht="15.75" customHeight="1" s="54"/>
    <row r="818" ht="15.75" customHeight="1" s="54"/>
    <row r="819" ht="15.75" customHeight="1" s="54"/>
    <row r="820" ht="15.75" customHeight="1" s="54"/>
    <row r="821" ht="15.75" customHeight="1" s="54"/>
    <row r="822" ht="15.75" customHeight="1" s="54"/>
    <row r="823" ht="15.75" customHeight="1" s="54"/>
    <row r="824" ht="15.75" customHeight="1" s="54"/>
    <row r="825" ht="15.75" customHeight="1" s="54"/>
    <row r="826" ht="15.75" customHeight="1" s="54"/>
    <row r="827" ht="15.75" customHeight="1" s="54"/>
    <row r="828" ht="15.75" customHeight="1" s="54"/>
    <row r="829" ht="15.75" customHeight="1" s="54"/>
    <row r="830" ht="15.75" customHeight="1" s="54"/>
    <row r="831" ht="15.75" customHeight="1" s="54"/>
    <row r="832" ht="15.75" customHeight="1" s="54"/>
    <row r="833" ht="15.75" customHeight="1" s="54"/>
    <row r="834" ht="15.75" customHeight="1" s="54"/>
    <row r="835" ht="15.75" customHeight="1" s="54"/>
    <row r="836" ht="15.75" customHeight="1" s="54"/>
    <row r="837" ht="15.75" customHeight="1" s="54"/>
    <row r="838" ht="15.75" customHeight="1" s="54"/>
    <row r="839" ht="15.75" customHeight="1" s="54"/>
    <row r="840" ht="15.75" customHeight="1" s="54"/>
    <row r="841" ht="15.75" customHeight="1" s="54"/>
    <row r="842" ht="15.75" customHeight="1" s="54"/>
    <row r="843" ht="15.75" customHeight="1" s="54"/>
    <row r="844" ht="15.75" customHeight="1" s="54"/>
    <row r="845" ht="15.75" customHeight="1" s="54"/>
    <row r="846" ht="15.75" customHeight="1" s="54"/>
    <row r="847" ht="15.75" customHeight="1" s="54"/>
    <row r="848" ht="15.75" customHeight="1" s="54"/>
    <row r="849" ht="15.75" customHeight="1" s="54"/>
    <row r="850" ht="15.75" customHeight="1" s="54"/>
    <row r="851" ht="15.75" customHeight="1" s="54"/>
    <row r="852" ht="15.75" customHeight="1" s="54"/>
    <row r="853" ht="15.75" customHeight="1" s="54"/>
    <row r="854" ht="15.75" customHeight="1" s="54"/>
    <row r="855" ht="15.75" customHeight="1" s="54"/>
    <row r="856" ht="15.75" customHeight="1" s="54"/>
    <row r="857" ht="15.75" customHeight="1" s="54"/>
    <row r="858" ht="15.75" customHeight="1" s="54"/>
    <row r="859" ht="15.75" customHeight="1" s="54"/>
    <row r="860" ht="15.75" customHeight="1" s="54"/>
    <row r="861" ht="15.75" customHeight="1" s="54"/>
    <row r="862" ht="15.75" customHeight="1" s="54"/>
    <row r="863" ht="15.75" customHeight="1" s="54"/>
    <row r="864" ht="15.75" customHeight="1" s="54"/>
    <row r="865" ht="15.75" customHeight="1" s="54"/>
    <row r="866" ht="15.75" customHeight="1" s="54"/>
    <row r="867" ht="15.75" customHeight="1" s="54"/>
    <row r="868" ht="15.75" customHeight="1" s="54"/>
    <row r="869" ht="15.75" customHeight="1" s="54"/>
    <row r="870" ht="15.75" customHeight="1" s="54"/>
    <row r="871" ht="15.75" customHeight="1" s="54"/>
    <row r="872" ht="15.75" customHeight="1" s="54"/>
    <row r="873" ht="15.75" customHeight="1" s="54"/>
    <row r="874" ht="15.75" customHeight="1" s="54"/>
    <row r="875" ht="15.75" customHeight="1" s="54"/>
    <row r="876" ht="15.75" customHeight="1" s="54"/>
    <row r="877" ht="15.75" customHeight="1" s="54"/>
    <row r="878" ht="15.75" customHeight="1" s="54"/>
    <row r="879" ht="15.75" customHeight="1" s="54"/>
    <row r="880" ht="15.75" customHeight="1" s="54"/>
    <row r="881" ht="15.75" customHeight="1" s="54"/>
    <row r="882" ht="15.75" customHeight="1" s="54"/>
    <row r="883" ht="15.75" customHeight="1" s="54"/>
    <row r="884" ht="15.75" customHeight="1" s="54"/>
    <row r="885" ht="15.75" customHeight="1" s="54"/>
    <row r="886" ht="15.75" customHeight="1" s="54"/>
    <row r="887" ht="15.75" customHeight="1" s="54"/>
    <row r="888" ht="15.75" customHeight="1" s="54"/>
    <row r="889" ht="15.75" customHeight="1" s="54"/>
    <row r="890" ht="15.75" customHeight="1" s="54"/>
    <row r="891" ht="15.75" customHeight="1" s="54"/>
    <row r="892" ht="15.75" customHeight="1" s="54"/>
    <row r="893" ht="15.75" customHeight="1" s="54"/>
    <row r="894" ht="15.75" customHeight="1" s="54"/>
    <row r="895" ht="15.75" customHeight="1" s="54"/>
    <row r="896" ht="15.75" customHeight="1" s="54"/>
    <row r="897" ht="15.75" customHeight="1" s="54"/>
    <row r="898" ht="15.75" customHeight="1" s="54"/>
    <row r="899" ht="15.75" customHeight="1" s="54"/>
    <row r="900" ht="15.75" customHeight="1" s="54"/>
    <row r="901" ht="15.75" customHeight="1" s="54"/>
    <row r="902" ht="15.75" customHeight="1" s="54"/>
    <row r="903" ht="15.75" customHeight="1" s="54"/>
    <row r="904" ht="15.75" customHeight="1" s="54"/>
    <row r="905" ht="15.75" customHeight="1" s="54"/>
    <row r="906" ht="15.75" customHeight="1" s="54"/>
    <row r="907" ht="15.75" customHeight="1" s="54"/>
    <row r="908" ht="15.75" customHeight="1" s="54"/>
    <row r="909" ht="15.75" customHeight="1" s="54"/>
    <row r="910" ht="15.75" customHeight="1" s="54"/>
    <row r="911" ht="15.75" customHeight="1" s="54"/>
    <row r="912" ht="15.75" customHeight="1" s="54"/>
    <row r="913" ht="15.75" customHeight="1" s="54"/>
    <row r="914" ht="15.75" customHeight="1" s="54"/>
    <row r="915" ht="15.75" customHeight="1" s="54"/>
    <row r="916" ht="15.75" customHeight="1" s="54"/>
    <row r="917" ht="15.75" customHeight="1" s="54"/>
    <row r="918" ht="15.75" customHeight="1" s="54"/>
    <row r="919" ht="15.75" customHeight="1" s="54"/>
    <row r="920" ht="15.75" customHeight="1" s="54"/>
    <row r="921" ht="15.75" customHeight="1" s="54"/>
    <row r="922" ht="15.75" customHeight="1" s="54"/>
    <row r="923" ht="15.75" customHeight="1" s="54"/>
    <row r="924" ht="15.75" customHeight="1" s="54"/>
    <row r="925" ht="15.75" customHeight="1" s="54"/>
    <row r="926" ht="15.75" customHeight="1" s="54"/>
    <row r="927" ht="15.75" customHeight="1" s="54"/>
    <row r="928" ht="15.75" customHeight="1" s="54"/>
    <row r="929" ht="15.75" customHeight="1" s="54"/>
    <row r="930" ht="15.75" customHeight="1" s="54"/>
    <row r="931" ht="15.75" customHeight="1" s="54"/>
    <row r="932" ht="15.75" customHeight="1" s="54"/>
    <row r="933" ht="15.75" customHeight="1" s="54"/>
    <row r="934" ht="15.75" customHeight="1" s="54"/>
    <row r="935" ht="15.75" customHeight="1" s="54"/>
    <row r="936" ht="15.75" customHeight="1" s="54"/>
    <row r="937" ht="15.75" customHeight="1" s="54"/>
    <row r="938" ht="15.75" customHeight="1" s="54"/>
    <row r="939" ht="15.75" customHeight="1" s="54"/>
    <row r="940" ht="15.75" customHeight="1" s="54"/>
    <row r="941" ht="15.75" customHeight="1" s="54"/>
    <row r="942" ht="15.75" customHeight="1" s="54"/>
    <row r="943" ht="15.75" customHeight="1" s="54"/>
    <row r="944" ht="15.75" customHeight="1" s="54"/>
    <row r="945" ht="15.75" customHeight="1" s="54"/>
    <row r="946" ht="15.75" customHeight="1" s="54"/>
    <row r="947" ht="15.75" customHeight="1" s="54"/>
    <row r="948" ht="15.75" customHeight="1" s="54"/>
    <row r="949" ht="15.75" customHeight="1" s="54"/>
    <row r="950" ht="15.75" customHeight="1" s="54"/>
    <row r="951" ht="15.75" customHeight="1" s="54"/>
    <row r="952" ht="15.75" customHeight="1" s="54"/>
    <row r="953" ht="15.75" customHeight="1" s="54"/>
    <row r="954" ht="15.75" customHeight="1" s="54"/>
    <row r="955" ht="15.75" customHeight="1" s="54"/>
    <row r="956" ht="15.75" customHeight="1" s="54"/>
    <row r="957" ht="15.75" customHeight="1" s="54"/>
    <row r="958" ht="15.75" customHeight="1" s="54"/>
    <row r="959" ht="15.75" customHeight="1" s="54"/>
    <row r="960" ht="15.75" customHeight="1" s="54"/>
    <row r="961" ht="15.75" customHeight="1" s="54"/>
    <row r="962" ht="15.75" customHeight="1" s="54"/>
    <row r="963" ht="15.75" customHeight="1" s="54"/>
    <row r="964" ht="15.75" customHeight="1" s="54"/>
    <row r="965" ht="15.75" customHeight="1" s="54"/>
    <row r="966" ht="15.75" customHeight="1" s="54"/>
    <row r="967" ht="15.75" customHeight="1" s="54"/>
    <row r="968" ht="15.75" customHeight="1" s="54"/>
    <row r="969" ht="15.75" customHeight="1" s="54"/>
    <row r="970" ht="15.75" customHeight="1" s="54"/>
    <row r="971" ht="15.75" customHeight="1" s="54"/>
    <row r="972" ht="15.75" customHeight="1" s="54"/>
    <row r="973" ht="15.75" customHeight="1" s="54"/>
    <row r="974" ht="15.75" customHeight="1" s="54"/>
    <row r="975" ht="15.75" customHeight="1" s="54"/>
    <row r="976" ht="15.75" customHeight="1" s="54"/>
    <row r="977" ht="15.75" customHeight="1" s="54"/>
    <row r="978" ht="15.75" customHeight="1" s="54"/>
    <row r="979" ht="15.75" customHeight="1" s="54"/>
    <row r="980" ht="15.75" customHeight="1" s="54"/>
    <row r="981" ht="15.75" customHeight="1" s="54"/>
    <row r="982" ht="15.75" customHeight="1" s="54"/>
    <row r="983" ht="15.75" customHeight="1" s="54"/>
    <row r="984" ht="15.75" customHeight="1" s="54"/>
    <row r="985" ht="15.75" customHeight="1" s="54"/>
    <row r="986" ht="15.75" customHeight="1" s="54"/>
    <row r="987" ht="15.75" customHeight="1" s="54"/>
    <row r="988" ht="15.75" customHeight="1" s="54"/>
    <row r="989" ht="15.75" customHeight="1" s="54"/>
    <row r="990" ht="15.75" customHeight="1" s="54"/>
    <row r="991" ht="15.75" customHeight="1" s="54"/>
    <row r="992" ht="15.75" customHeight="1" s="54"/>
    <row r="993" ht="15.75" customHeight="1" s="54"/>
    <row r="994" ht="15.75" customHeight="1" s="54"/>
    <row r="995" ht="15.75" customHeight="1" s="54"/>
    <row r="996" ht="15.75" customHeight="1" s="54"/>
    <row r="997" ht="15.75" customHeight="1" s="54"/>
    <row r="998" ht="15.75" customHeight="1" s="54"/>
    <row r="999" ht="15.75" customHeight="1" s="54"/>
    <row r="1000" ht="15.75" customHeight="1" s="54"/>
  </sheetData>
  <mergeCells count="5">
    <mergeCell ref="A1:M1"/>
    <mergeCell ref="A2:A3"/>
    <mergeCell ref="B2:B3"/>
    <mergeCell ref="C2:C3"/>
    <mergeCell ref="A4:C4"/>
  </mergeCells>
  <pageMargins left="0.75" right="0.75" top="1" bottom="1" header="0" footer="0"/>
  <pageSetup orientation="landscape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O16"/>
  <sheetViews>
    <sheetView showGridLines="0" workbookViewId="0">
      <selection activeCell="A1" sqref="A1"/>
    </sheetView>
  </sheetViews>
  <sheetFormatPr baseColWidth="8" defaultColWidth="14.453125" defaultRowHeight="15" customHeight="1"/>
  <cols>
    <col width="8" customWidth="1" style="54" min="1" max="2"/>
    <col width="26" customWidth="1" style="54" min="3" max="3"/>
    <col width="11" customWidth="1" style="54" min="4" max="13"/>
    <col width="14" customWidth="1" style="54" min="14" max="15"/>
    <col width="8.7265625" customWidth="1" style="54" min="16" max="26"/>
  </cols>
  <sheetData>
    <row r="1" ht="30" customHeight="1" s="54">
      <c r="A1" s="83" t="inlineStr">
        <is>
          <t>SUS Score Calculation — Converted Scores and Final SUS Score (Auto-calculated)</t>
        </is>
      </c>
    </row>
    <row r="2" ht="19.5" customHeight="1" s="54">
      <c r="A2" s="22" t="inlineStr">
        <is>
          <t>#</t>
        </is>
      </c>
      <c r="B2" s="22" t="inlineStr">
        <is>
          <t>ID</t>
        </is>
      </c>
      <c r="C2" s="22" t="inlineStr">
        <is>
          <t>Role</t>
        </is>
      </c>
      <c r="D2" s="32" t="inlineStr">
        <is>
          <t>Q1 Conv.</t>
        </is>
      </c>
      <c r="E2" s="33" t="inlineStr">
        <is>
          <t>Q2 Conv.</t>
        </is>
      </c>
      <c r="F2" s="32" t="inlineStr">
        <is>
          <t>Q3 Conv.</t>
        </is>
      </c>
      <c r="G2" s="33" t="inlineStr">
        <is>
          <t>Q4 Conv.</t>
        </is>
      </c>
      <c r="H2" s="32" t="inlineStr">
        <is>
          <t>Q5 Conv.</t>
        </is>
      </c>
      <c r="I2" s="33" t="inlineStr">
        <is>
          <t>Q6 Conv.</t>
        </is>
      </c>
      <c r="J2" s="32" t="inlineStr">
        <is>
          <t>Q7 Conv.</t>
        </is>
      </c>
      <c r="K2" s="33" t="inlineStr">
        <is>
          <t>Q8 Conv.</t>
        </is>
      </c>
      <c r="L2" s="32" t="inlineStr">
        <is>
          <t>Q9 Conv.</t>
        </is>
      </c>
      <c r="M2" s="33" t="inlineStr">
        <is>
          <t>Q10 Conv.</t>
        </is>
      </c>
      <c r="N2" s="22" t="inlineStr">
        <is>
          <t>Raw Sum</t>
        </is>
      </c>
      <c r="O2" s="22" t="inlineStr">
        <is>
          <t>SUS Score</t>
        </is>
      </c>
    </row>
    <row r="3" ht="18" customHeight="1" s="54">
      <c r="A3" s="84" t="n"/>
      <c r="B3" s="84" t="n"/>
      <c r="C3" s="84" t="n"/>
      <c r="D3" s="34" t="inlineStr">
        <is>
          <t>R−1</t>
        </is>
      </c>
      <c r="E3" s="35" t="inlineStr">
        <is>
          <t>5−R</t>
        </is>
      </c>
      <c r="F3" s="34" t="inlineStr">
        <is>
          <t>R−1</t>
        </is>
      </c>
      <c r="G3" s="35" t="inlineStr">
        <is>
          <t>5−R</t>
        </is>
      </c>
      <c r="H3" s="34" t="inlineStr">
        <is>
          <t>R−1</t>
        </is>
      </c>
      <c r="I3" s="35" t="inlineStr">
        <is>
          <t>5−R</t>
        </is>
      </c>
      <c r="J3" s="34" t="inlineStr">
        <is>
          <t>R−1</t>
        </is>
      </c>
      <c r="K3" s="35" t="inlineStr">
        <is>
          <t>5−R</t>
        </is>
      </c>
      <c r="L3" s="34" t="inlineStr">
        <is>
          <t>R−1</t>
        </is>
      </c>
      <c r="M3" s="35" t="inlineStr">
        <is>
          <t>5−R</t>
        </is>
      </c>
      <c r="N3" s="36" t="inlineStr">
        <is>
          <t>(max 40)</t>
        </is>
      </c>
      <c r="O3" s="36" t="inlineStr">
        <is>
          <t>Sum × 2.5</t>
        </is>
      </c>
    </row>
    <row r="4" ht="19.5" customHeight="1" s="54">
      <c r="A4" s="23" t="n">
        <v>1</v>
      </c>
      <c r="B4" s="29" t="inlineStr">
        <is>
          <t>P1</t>
        </is>
      </c>
      <c r="C4" s="23" t="inlineStr">
        <is>
          <t>IPDC Management Staff</t>
        </is>
      </c>
      <c r="D4" s="30">
        <f>IF('SUS Raw Responses'!D5="","",'SUS Raw Responses'!D5-1)</f>
        <v/>
      </c>
      <c r="E4" s="37">
        <f>IF('SUS Raw Responses'!E5="","",5-'SUS Raw Responses'!E5)</f>
        <v/>
      </c>
      <c r="F4" s="30">
        <f>IF('SUS Raw Responses'!F5="","",'SUS Raw Responses'!F5-1)</f>
        <v/>
      </c>
      <c r="G4" s="37">
        <f>IF('SUS Raw Responses'!G5="","",5-'SUS Raw Responses'!G5)</f>
        <v/>
      </c>
      <c r="H4" s="30">
        <f>IF('SUS Raw Responses'!H5="","",'SUS Raw Responses'!H5-1)</f>
        <v/>
      </c>
      <c r="I4" s="37">
        <f>IF('SUS Raw Responses'!I5="","",5-'SUS Raw Responses'!I5)</f>
        <v/>
      </c>
      <c r="J4" s="30">
        <f>IF('SUS Raw Responses'!J5="","",'SUS Raw Responses'!J5-1)</f>
        <v/>
      </c>
      <c r="K4" s="37">
        <f>IF('SUS Raw Responses'!K5="","",5-'SUS Raw Responses'!K5)</f>
        <v/>
      </c>
      <c r="L4" s="30">
        <f>IF('SUS Raw Responses'!L5="","",'SUS Raw Responses'!L5-1)</f>
        <v/>
      </c>
      <c r="M4" s="37">
        <f>IF('SUS Raw Responses'!M5="","",5-'SUS Raw Responses'!M5)</f>
        <v/>
      </c>
      <c r="N4" s="38">
        <f>IF(COUNTA(D4,E4,F4,G4,H4,I4,J4,K4,L4,M4)=10,SUM(D4,E4,F4,G4,H4,I4,J4,K4,L4,M4),"")</f>
        <v/>
      </c>
      <c r="O4" s="39">
        <f>IF(N4="","",N4*2.5)</f>
        <v/>
      </c>
    </row>
    <row r="5" ht="19.5" customHeight="1" s="54">
      <c r="A5" s="24" t="n">
        <v>2</v>
      </c>
      <c r="B5" s="31" t="inlineStr">
        <is>
          <t>P2</t>
        </is>
      </c>
      <c r="C5" s="24" t="inlineStr">
        <is>
          <t>IPDC Management Staff</t>
        </is>
      </c>
      <c r="D5" s="40">
        <f>IF('SUS Raw Responses'!D6="","",'SUS Raw Responses'!D6-1)</f>
        <v/>
      </c>
      <c r="E5" s="41">
        <f>IF('SUS Raw Responses'!E6="","",5-'SUS Raw Responses'!E6)</f>
        <v/>
      </c>
      <c r="F5" s="40">
        <f>IF('SUS Raw Responses'!F6="","",'SUS Raw Responses'!F6-1)</f>
        <v/>
      </c>
      <c r="G5" s="41">
        <f>IF('SUS Raw Responses'!G6="","",5-'SUS Raw Responses'!G6)</f>
        <v/>
      </c>
      <c r="H5" s="40">
        <f>IF('SUS Raw Responses'!H6="","",'SUS Raw Responses'!H6-1)</f>
        <v/>
      </c>
      <c r="I5" s="41">
        <f>IF('SUS Raw Responses'!I6="","",5-'SUS Raw Responses'!I6)</f>
        <v/>
      </c>
      <c r="J5" s="40">
        <f>IF('SUS Raw Responses'!J6="","",'SUS Raw Responses'!J6-1)</f>
        <v/>
      </c>
      <c r="K5" s="41">
        <f>IF('SUS Raw Responses'!K6="","",5-'SUS Raw Responses'!K6)</f>
        <v/>
      </c>
      <c r="L5" s="40">
        <f>IF('SUS Raw Responses'!L6="","",'SUS Raw Responses'!L6-1)</f>
        <v/>
      </c>
      <c r="M5" s="41">
        <f>IF('SUS Raw Responses'!M6="","",5-'SUS Raw Responses'!M6)</f>
        <v/>
      </c>
      <c r="N5" s="38">
        <f>IF(COUNTA(D5,E5,F5,G5,H5,I5,J5,K5,L5,M5)=10,SUM(D5,E5,F5,G5,H5,I5,J5,K5,L5,M5),"")</f>
        <v/>
      </c>
      <c r="O5" s="39">
        <f>IF(N5="","",N5*2.5)</f>
        <v/>
      </c>
    </row>
    <row r="6" ht="19.5" customHeight="1" s="54">
      <c r="A6" s="23" t="n">
        <v>3</v>
      </c>
      <c r="B6" s="29" t="inlineStr">
        <is>
          <t>P3</t>
        </is>
      </c>
      <c r="C6" s="23" t="inlineStr">
        <is>
          <t>IPDC Management Staff</t>
        </is>
      </c>
      <c r="D6" s="30">
        <f>IF('SUS Raw Responses'!D7="","",'SUS Raw Responses'!D7-1)</f>
        <v/>
      </c>
      <c r="E6" s="37">
        <f>IF('SUS Raw Responses'!E7="","",5-'SUS Raw Responses'!E7)</f>
        <v/>
      </c>
      <c r="F6" s="30">
        <f>IF('SUS Raw Responses'!F7="","",'SUS Raw Responses'!F7-1)</f>
        <v/>
      </c>
      <c r="G6" s="37">
        <f>IF('SUS Raw Responses'!G7="","",5-'SUS Raw Responses'!G7)</f>
        <v/>
      </c>
      <c r="H6" s="30">
        <f>IF('SUS Raw Responses'!H7="","",'SUS Raw Responses'!H7-1)</f>
        <v/>
      </c>
      <c r="I6" s="37">
        <f>IF('SUS Raw Responses'!I7="","",5-'SUS Raw Responses'!I7)</f>
        <v/>
      </c>
      <c r="J6" s="30">
        <f>IF('SUS Raw Responses'!J7="","",'SUS Raw Responses'!J7-1)</f>
        <v/>
      </c>
      <c r="K6" s="37">
        <f>IF('SUS Raw Responses'!K7="","",5-'SUS Raw Responses'!K7)</f>
        <v/>
      </c>
      <c r="L6" s="30">
        <f>IF('SUS Raw Responses'!L7="","",'SUS Raw Responses'!L7-1)</f>
        <v/>
      </c>
      <c r="M6" s="37">
        <f>IF('SUS Raw Responses'!M7="","",5-'SUS Raw Responses'!M7)</f>
        <v/>
      </c>
      <c r="N6" s="38">
        <f>IF(COUNTA(D6,E6,F6,G6,H6,I6,J6,K6,L6,M6)=10,SUM(D6,E6,F6,G6,H6,I6,J6,K6,L6,M6),"")</f>
        <v/>
      </c>
      <c r="O6" s="39">
        <f>IF(N6="","",N6*2.5)</f>
        <v/>
      </c>
    </row>
    <row r="7" ht="19.5" customHeight="1" s="54">
      <c r="A7" s="24" t="n">
        <v>4</v>
      </c>
      <c r="B7" s="31" t="inlineStr">
        <is>
          <t>P4</t>
        </is>
      </c>
      <c r="C7" s="24" t="inlineStr">
        <is>
          <t>Tenant Representative</t>
        </is>
      </c>
      <c r="D7" s="40">
        <f>IF('SUS Raw Responses'!D8="","",'SUS Raw Responses'!D8-1)</f>
        <v/>
      </c>
      <c r="E7" s="41">
        <f>IF('SUS Raw Responses'!E8="","",5-'SUS Raw Responses'!E8)</f>
        <v/>
      </c>
      <c r="F7" s="40">
        <f>IF('SUS Raw Responses'!F8="","",'SUS Raw Responses'!F8-1)</f>
        <v/>
      </c>
      <c r="G7" s="41">
        <f>IF('SUS Raw Responses'!G8="","",5-'SUS Raw Responses'!G8)</f>
        <v/>
      </c>
      <c r="H7" s="40">
        <f>IF('SUS Raw Responses'!H8="","",'SUS Raw Responses'!H8-1)</f>
        <v/>
      </c>
      <c r="I7" s="41">
        <f>IF('SUS Raw Responses'!I8="","",5-'SUS Raw Responses'!I8)</f>
        <v/>
      </c>
      <c r="J7" s="40">
        <f>IF('SUS Raw Responses'!J8="","",'SUS Raw Responses'!J8-1)</f>
        <v/>
      </c>
      <c r="K7" s="41">
        <f>IF('SUS Raw Responses'!K8="","",5-'SUS Raw Responses'!K8)</f>
        <v/>
      </c>
      <c r="L7" s="40">
        <f>IF('SUS Raw Responses'!L8="","",'SUS Raw Responses'!L8-1)</f>
        <v/>
      </c>
      <c r="M7" s="41">
        <f>IF('SUS Raw Responses'!M8="","",5-'SUS Raw Responses'!M8)</f>
        <v/>
      </c>
      <c r="N7" s="38">
        <f>IF(COUNTA(D7,E7,F7,G7,H7,I7,J7,K7,L7,M7)=10,SUM(D7,E7,F7,G7,H7,I7,J7,K7,L7,M7),"")</f>
        <v/>
      </c>
      <c r="O7" s="39">
        <f>IF(N7="","",N7*2.5)</f>
        <v/>
      </c>
    </row>
    <row r="8" ht="19.5" customHeight="1" s="54">
      <c r="A8" s="23" t="n">
        <v>5</v>
      </c>
      <c r="B8" s="29" t="inlineStr">
        <is>
          <t>P5</t>
        </is>
      </c>
      <c r="C8" s="23" t="inlineStr">
        <is>
          <t>Tenant Representative</t>
        </is>
      </c>
      <c r="D8" s="30">
        <f>IF('SUS Raw Responses'!D9="","",'SUS Raw Responses'!D9-1)</f>
        <v/>
      </c>
      <c r="E8" s="37">
        <f>IF('SUS Raw Responses'!E9="","",5-'SUS Raw Responses'!E9)</f>
        <v/>
      </c>
      <c r="F8" s="30">
        <f>IF('SUS Raw Responses'!F9="","",'SUS Raw Responses'!F9-1)</f>
        <v/>
      </c>
      <c r="G8" s="37">
        <f>IF('SUS Raw Responses'!G9="","",5-'SUS Raw Responses'!G9)</f>
        <v/>
      </c>
      <c r="H8" s="30">
        <f>IF('SUS Raw Responses'!H9="","",'SUS Raw Responses'!H9-1)</f>
        <v/>
      </c>
      <c r="I8" s="37">
        <f>IF('SUS Raw Responses'!I9="","",5-'SUS Raw Responses'!I9)</f>
        <v/>
      </c>
      <c r="J8" s="30">
        <f>IF('SUS Raw Responses'!J9="","",'SUS Raw Responses'!J9-1)</f>
        <v/>
      </c>
      <c r="K8" s="37">
        <f>IF('SUS Raw Responses'!K9="","",5-'SUS Raw Responses'!K9)</f>
        <v/>
      </c>
      <c r="L8" s="30">
        <f>IF('SUS Raw Responses'!L9="","",'SUS Raw Responses'!L9-1)</f>
        <v/>
      </c>
      <c r="M8" s="37">
        <f>IF('SUS Raw Responses'!M9="","",5-'SUS Raw Responses'!M9)</f>
        <v/>
      </c>
      <c r="N8" s="38">
        <f>IF(COUNTA(D8,E8,F8,G8,H8,I8,J8,K8,L8,M8)=10,SUM(D8,E8,F8,G8,H8,I8,J8,K8,L8,M8),"")</f>
        <v/>
      </c>
      <c r="O8" s="39">
        <f>IF(N8="","",N8*2.5)</f>
        <v/>
      </c>
    </row>
    <row r="9" ht="19.5" customHeight="1" s="54">
      <c r="A9" s="24" t="n">
        <v>6</v>
      </c>
      <c r="B9" s="31" t="inlineStr">
        <is>
          <t>P6</t>
        </is>
      </c>
      <c r="C9" s="24" t="inlineStr">
        <is>
          <t>Tenant Representative</t>
        </is>
      </c>
      <c r="D9" s="40">
        <f>IF('SUS Raw Responses'!D10="","",'SUS Raw Responses'!D10-1)</f>
        <v/>
      </c>
      <c r="E9" s="41">
        <f>IF('SUS Raw Responses'!E10="","",5-'SUS Raw Responses'!E10)</f>
        <v/>
      </c>
      <c r="F9" s="40">
        <f>IF('SUS Raw Responses'!F10="","",'SUS Raw Responses'!F10-1)</f>
        <v/>
      </c>
      <c r="G9" s="41">
        <f>IF('SUS Raw Responses'!G10="","",5-'SUS Raw Responses'!G10)</f>
        <v/>
      </c>
      <c r="H9" s="40">
        <f>IF('SUS Raw Responses'!H10="","",'SUS Raw Responses'!H10-1)</f>
        <v/>
      </c>
      <c r="I9" s="41">
        <f>IF('SUS Raw Responses'!I10="","",5-'SUS Raw Responses'!I10)</f>
        <v/>
      </c>
      <c r="J9" s="40">
        <f>IF('SUS Raw Responses'!J10="","",'SUS Raw Responses'!J10-1)</f>
        <v/>
      </c>
      <c r="K9" s="41">
        <f>IF('SUS Raw Responses'!K10="","",5-'SUS Raw Responses'!K10)</f>
        <v/>
      </c>
      <c r="L9" s="40">
        <f>IF('SUS Raw Responses'!L10="","",'SUS Raw Responses'!L10-1)</f>
        <v/>
      </c>
      <c r="M9" s="41">
        <f>IF('SUS Raw Responses'!M10="","",5-'SUS Raw Responses'!M10)</f>
        <v/>
      </c>
      <c r="N9" s="38">
        <f>IF(COUNTA(D9,E9,F9,G9,H9,I9,J9,K9,L9,M9)=10,SUM(D9,E9,F9,G9,H9,I9,J9,K9,L9,M9),"")</f>
        <v/>
      </c>
      <c r="O9" s="39">
        <f>IF(N9="","",N9*2.5)</f>
        <v/>
      </c>
    </row>
    <row r="10" ht="19.5" customHeight="1" s="54">
      <c r="A10" s="23" t="n">
        <v>7</v>
      </c>
      <c r="B10" s="29" t="inlineStr">
        <is>
          <t>P7</t>
        </is>
      </c>
      <c r="C10" s="23" t="inlineStr">
        <is>
          <t>Operations Staff</t>
        </is>
      </c>
      <c r="D10" s="30">
        <f>IF('SUS Raw Responses'!D11="","",'SUS Raw Responses'!D11-1)</f>
        <v/>
      </c>
      <c r="E10" s="37">
        <f>IF('SUS Raw Responses'!E11="","",5-'SUS Raw Responses'!E11)</f>
        <v/>
      </c>
      <c r="F10" s="30">
        <f>IF('SUS Raw Responses'!F11="","",'SUS Raw Responses'!F11-1)</f>
        <v/>
      </c>
      <c r="G10" s="37">
        <f>IF('SUS Raw Responses'!G11="","",5-'SUS Raw Responses'!G11)</f>
        <v/>
      </c>
      <c r="H10" s="30">
        <f>IF('SUS Raw Responses'!H11="","",'SUS Raw Responses'!H11-1)</f>
        <v/>
      </c>
      <c r="I10" s="37">
        <f>IF('SUS Raw Responses'!I11="","",5-'SUS Raw Responses'!I11)</f>
        <v/>
      </c>
      <c r="J10" s="30">
        <f>IF('SUS Raw Responses'!J11="","",'SUS Raw Responses'!J11-1)</f>
        <v/>
      </c>
      <c r="K10" s="37">
        <f>IF('SUS Raw Responses'!K11="","",5-'SUS Raw Responses'!K11)</f>
        <v/>
      </c>
      <c r="L10" s="30">
        <f>IF('SUS Raw Responses'!L11="","",'SUS Raw Responses'!L11-1)</f>
        <v/>
      </c>
      <c r="M10" s="37">
        <f>IF('SUS Raw Responses'!M11="","",5-'SUS Raw Responses'!M11)</f>
        <v/>
      </c>
      <c r="N10" s="38">
        <f>IF(COUNTA(D10,E10,F10,G10,H10,I10,J10,K10,L10,M10)=10,SUM(D10,E10,F10,G10,H10,I10,J10,K10,L10,M10),"")</f>
        <v/>
      </c>
      <c r="O10" s="39">
        <f>IF(N10="","",N10*2.5)</f>
        <v/>
      </c>
    </row>
    <row r="11" ht="19.5" customHeight="1" s="54">
      <c r="A11" s="24" t="n">
        <v>8</v>
      </c>
      <c r="B11" s="31" t="inlineStr">
        <is>
          <t>P8</t>
        </is>
      </c>
      <c r="C11" s="24" t="inlineStr">
        <is>
          <t>Operations Staff</t>
        </is>
      </c>
      <c r="D11" s="40">
        <f>IF('SUS Raw Responses'!D12="","",'SUS Raw Responses'!D12-1)</f>
        <v/>
      </c>
      <c r="E11" s="41">
        <f>IF('SUS Raw Responses'!E12="","",5-'SUS Raw Responses'!E12)</f>
        <v/>
      </c>
      <c r="F11" s="40">
        <f>IF('SUS Raw Responses'!F12="","",'SUS Raw Responses'!F12-1)</f>
        <v/>
      </c>
      <c r="G11" s="41">
        <f>IF('SUS Raw Responses'!G12="","",5-'SUS Raw Responses'!G12)</f>
        <v/>
      </c>
      <c r="H11" s="40">
        <f>IF('SUS Raw Responses'!H12="","",'SUS Raw Responses'!H12-1)</f>
        <v/>
      </c>
      <c r="I11" s="41">
        <f>IF('SUS Raw Responses'!I12="","",5-'SUS Raw Responses'!I12)</f>
        <v/>
      </c>
      <c r="J11" s="40">
        <f>IF('SUS Raw Responses'!J12="","",'SUS Raw Responses'!J12-1)</f>
        <v/>
      </c>
      <c r="K11" s="41">
        <f>IF('SUS Raw Responses'!K12="","",5-'SUS Raw Responses'!K12)</f>
        <v/>
      </c>
      <c r="L11" s="40">
        <f>IF('SUS Raw Responses'!L12="","",'SUS Raw Responses'!L12-1)</f>
        <v/>
      </c>
      <c r="M11" s="41">
        <f>IF('SUS Raw Responses'!M12="","",5-'SUS Raw Responses'!M12)</f>
        <v/>
      </c>
      <c r="N11" s="38">
        <f>IF(COUNTA(D11,E11,F11,G11,H11,I11,J11,K11,L11,M11)=10,SUM(D11,E11,F11,G11,H11,I11,J11,K11,L11,M11),"")</f>
        <v/>
      </c>
      <c r="O11" s="39">
        <f>IF(N11="","",N11*2.5)</f>
        <v/>
      </c>
    </row>
    <row r="12" ht="19.5" customHeight="1" s="54">
      <c r="A12" s="23" t="n">
        <v>9</v>
      </c>
      <c r="B12" s="29" t="inlineStr">
        <is>
          <t>P9</t>
        </is>
      </c>
      <c r="C12" s="23" t="inlineStr">
        <is>
          <t>Operations Staff</t>
        </is>
      </c>
      <c r="D12" s="30">
        <f>IF('SUS Raw Responses'!D13="","",'SUS Raw Responses'!D13-1)</f>
        <v/>
      </c>
      <c r="E12" s="37">
        <f>IF('SUS Raw Responses'!E13="","",5-'SUS Raw Responses'!E13)</f>
        <v/>
      </c>
      <c r="F12" s="30">
        <f>IF('SUS Raw Responses'!F13="","",'SUS Raw Responses'!F13-1)</f>
        <v/>
      </c>
      <c r="G12" s="37">
        <f>IF('SUS Raw Responses'!G13="","",5-'SUS Raw Responses'!G13)</f>
        <v/>
      </c>
      <c r="H12" s="30">
        <f>IF('SUS Raw Responses'!H13="","",'SUS Raw Responses'!H13-1)</f>
        <v/>
      </c>
      <c r="I12" s="37">
        <f>IF('SUS Raw Responses'!I13="","",5-'SUS Raw Responses'!I13)</f>
        <v/>
      </c>
      <c r="J12" s="30">
        <f>IF('SUS Raw Responses'!J13="","",'SUS Raw Responses'!J13-1)</f>
        <v/>
      </c>
      <c r="K12" s="37">
        <f>IF('SUS Raw Responses'!K13="","",5-'SUS Raw Responses'!K13)</f>
        <v/>
      </c>
      <c r="L12" s="30">
        <f>IF('SUS Raw Responses'!L13="","",'SUS Raw Responses'!L13-1)</f>
        <v/>
      </c>
      <c r="M12" s="37">
        <f>IF('SUS Raw Responses'!M13="","",5-'SUS Raw Responses'!M13)</f>
        <v/>
      </c>
      <c r="N12" s="38">
        <f>IF(COUNTA(D12,E12,F12,G12,H12,I12,J12,K12,L12,M12)=10,SUM(D12,E12,F12,G12,H12,I12,J12,K12,L12,M12),"")</f>
        <v/>
      </c>
      <c r="O12" s="39">
        <f>IF(N12="","",N12*2.5)</f>
        <v/>
      </c>
    </row>
    <row r="13">
      <c r="A13" s="23" t="n">
        <v>10</v>
      </c>
      <c r="B13" s="29" t="inlineStr">
        <is>
          <t>P10</t>
        </is>
      </c>
      <c r="C13" s="23" t="inlineStr">
        <is>
          <t>Operations Staff</t>
        </is>
      </c>
      <c r="D13" s="30">
        <f>IF('SUS Raw Responses'!D14="","",'SUS Raw Responses'!D14-1)</f>
        <v/>
      </c>
      <c r="E13" s="37">
        <f>IF('SUS Raw Responses'!E14="","",5-'SUS Raw Responses'!E14)</f>
        <v/>
      </c>
      <c r="F13" s="30">
        <f>IF('SUS Raw Responses'!F14="","",'SUS Raw Responses'!F14-1)</f>
        <v/>
      </c>
      <c r="G13" s="37">
        <f>IF('SUS Raw Responses'!G14="","",5-'SUS Raw Responses'!G14)</f>
        <v/>
      </c>
      <c r="H13" s="30">
        <f>IF('SUS Raw Responses'!H14="","",'SUS Raw Responses'!H14-1)</f>
        <v/>
      </c>
      <c r="I13" s="37">
        <f>IF('SUS Raw Responses'!I14="","",5-'SUS Raw Responses'!I14)</f>
        <v/>
      </c>
      <c r="J13" s="30">
        <f>IF('SUS Raw Responses'!J14="","",'SUS Raw Responses'!J14-1)</f>
        <v/>
      </c>
      <c r="K13" s="37">
        <f>IF('SUS Raw Responses'!K14="","",5-'SUS Raw Responses'!K14)</f>
        <v/>
      </c>
      <c r="L13" s="30">
        <f>IF('SUS Raw Responses'!L14="","",'SUS Raw Responses'!L14-1)</f>
        <v/>
      </c>
      <c r="M13" s="37">
        <f>IF('SUS Raw Responses'!M14="","",5-'SUS Raw Responses'!M14)</f>
        <v/>
      </c>
      <c r="N13" s="38">
        <f>IF(COUNTA(D13,E13,F13,G13,H13,I13,J13,K13,L13,M13)=10,SUM(D13,E13,F13,G13,H13,I13,J13,K13,L13,M13),"")</f>
        <v/>
      </c>
      <c r="O13" s="39">
        <f>IF(N13="","",N13*2.5)</f>
        <v/>
      </c>
    </row>
    <row r="14" ht="24" customHeight="1" s="54">
      <c r="A14" s="23" t="n">
        <v>11</v>
      </c>
      <c r="B14" s="29" t="inlineStr">
        <is>
          <t>P11</t>
        </is>
      </c>
      <c r="C14" s="23" t="inlineStr">
        <is>
          <t>Operations Staff</t>
        </is>
      </c>
      <c r="D14" s="30">
        <f>IF('SUS Raw Responses'!D15="","",'SUS Raw Responses'!D15-1)</f>
        <v/>
      </c>
      <c r="E14" s="37">
        <f>IF('SUS Raw Responses'!E15="","",5-'SUS Raw Responses'!E15)</f>
        <v/>
      </c>
      <c r="F14" s="30">
        <f>IF('SUS Raw Responses'!F15="","",'SUS Raw Responses'!F15-1)</f>
        <v/>
      </c>
      <c r="G14" s="37">
        <f>IF('SUS Raw Responses'!G15="","",5-'SUS Raw Responses'!G15)</f>
        <v/>
      </c>
      <c r="H14" s="30">
        <f>IF('SUS Raw Responses'!H15="","",'SUS Raw Responses'!H15-1)</f>
        <v/>
      </c>
      <c r="I14" s="37">
        <f>IF('SUS Raw Responses'!I15="","",5-'SUS Raw Responses'!I15)</f>
        <v/>
      </c>
      <c r="J14" s="30">
        <f>IF('SUS Raw Responses'!J15="","",'SUS Raw Responses'!J15-1)</f>
        <v/>
      </c>
      <c r="K14" s="37">
        <f>IF('SUS Raw Responses'!K15="","",5-'SUS Raw Responses'!K15)</f>
        <v/>
      </c>
      <c r="L14" s="30">
        <f>IF('SUS Raw Responses'!L15="","",'SUS Raw Responses'!L15-1)</f>
        <v/>
      </c>
      <c r="M14" s="37">
        <f>IF('SUS Raw Responses'!M15="","",5-'SUS Raw Responses'!M15)</f>
        <v/>
      </c>
      <c r="N14" s="38">
        <f>IF(COUNTA(D14,E14,F14,G14,H14,I14,J14,K14,L14,M14)=10,SUM(D14,E14,F14,G14,H14,I14,J14,K14,L14,M14),"")</f>
        <v/>
      </c>
      <c r="O14" s="39">
        <f>IF(N14="","",N14*2.5)</f>
        <v/>
      </c>
    </row>
    <row r="15">
      <c r="A15" s="23" t="n">
        <v>12</v>
      </c>
      <c r="B15" s="29" t="inlineStr">
        <is>
          <t>P12</t>
        </is>
      </c>
      <c r="C15" s="23" t="inlineStr">
        <is>
          <t>Tenant Representative</t>
        </is>
      </c>
      <c r="D15" s="30">
        <f>IF('SUS Raw Responses'!D16="","",'SUS Raw Responses'!D16-1)</f>
        <v/>
      </c>
      <c r="E15" s="37">
        <f>IF('SUS Raw Responses'!E16="","",5-'SUS Raw Responses'!E16)</f>
        <v/>
      </c>
      <c r="F15" s="30">
        <f>IF('SUS Raw Responses'!F16="","",'SUS Raw Responses'!F16-1)</f>
        <v/>
      </c>
      <c r="G15" s="37">
        <f>IF('SUS Raw Responses'!G16="","",5-'SUS Raw Responses'!G16)</f>
        <v/>
      </c>
      <c r="H15" s="30">
        <f>IF('SUS Raw Responses'!H16="","",'SUS Raw Responses'!H16-1)</f>
        <v/>
      </c>
      <c r="I15" s="37">
        <f>IF('SUS Raw Responses'!I16="","",5-'SUS Raw Responses'!I16)</f>
        <v/>
      </c>
      <c r="J15" s="30">
        <f>IF('SUS Raw Responses'!J16="","",'SUS Raw Responses'!J16-1)</f>
        <v/>
      </c>
      <c r="K15" s="37">
        <f>IF('SUS Raw Responses'!K16="","",5-'SUS Raw Responses'!K16)</f>
        <v/>
      </c>
      <c r="L15" s="30">
        <f>IF('SUS Raw Responses'!L16="","",'SUS Raw Responses'!L16-1)</f>
        <v/>
      </c>
      <c r="M15" s="37">
        <f>IF('SUS Raw Responses'!M16="","",5-'SUS Raw Responses'!M16)</f>
        <v/>
      </c>
      <c r="N15" s="38">
        <f>IF(COUNTA(D15,E15,F15,G15,H15,I15,J15,K15,L15,M15)=10,SUM(D15,E15,F15,G15,H15,I15,J15,K15,L15,M15),"")</f>
        <v/>
      </c>
      <c r="O15" s="39">
        <f>IF(N15="","",N15*2.5)</f>
        <v/>
      </c>
    </row>
    <row r="16">
      <c r="A16" s="23" t="inlineStr">
        <is>
          <t>MEAN SUS SCORE</t>
        </is>
      </c>
      <c r="B16" s="29" t="n"/>
      <c r="C16" s="23" t="n"/>
      <c r="D16" s="30" t="n"/>
      <c r="E16" s="37" t="n"/>
      <c r="F16" s="30" t="n"/>
      <c r="G16" s="37" t="n"/>
      <c r="H16" s="30" t="n"/>
      <c r="I16" s="37" t="n"/>
      <c r="J16" s="30" t="n"/>
      <c r="K16" s="37" t="n"/>
      <c r="L16" s="30" t="n"/>
      <c r="M16" s="37" t="n"/>
      <c r="N16" s="38" t="n"/>
      <c r="O16" s="39">
        <f>IF(COUNTA(O4:O15)=12,AVERAGE(O4:O15),"")</f>
        <v/>
      </c>
    </row>
    <row r="21" ht="15.75" customHeight="1" s="54"/>
    <row r="22" ht="15.75" customHeight="1" s="54"/>
    <row r="23" ht="15.75" customHeight="1" s="54"/>
    <row r="24" ht="15.75" customHeight="1" s="54"/>
    <row r="25" ht="15.75" customHeight="1" s="54"/>
    <row r="26" ht="15.75" customHeight="1" s="54"/>
    <row r="27" ht="15.75" customHeight="1" s="54"/>
    <row r="28" ht="15.75" customHeight="1" s="54"/>
    <row r="29" ht="15.75" customHeight="1" s="54"/>
    <row r="30" ht="15.75" customHeight="1" s="54"/>
    <row r="31" ht="15.75" customHeight="1" s="54"/>
    <row r="32" ht="15.75" customHeight="1" s="54"/>
    <row r="33" ht="15.75" customHeight="1" s="54"/>
    <row r="34" ht="15.75" customHeight="1" s="54"/>
    <row r="35" ht="15.75" customHeight="1" s="54"/>
    <row r="36" ht="15.75" customHeight="1" s="54"/>
    <row r="37" ht="15.75" customHeight="1" s="54"/>
    <row r="38" ht="15.75" customHeight="1" s="54"/>
    <row r="39" ht="15.75" customHeight="1" s="54"/>
    <row r="40" ht="15.75" customHeight="1" s="54"/>
    <row r="41" ht="15.75" customHeight="1" s="54"/>
    <row r="42" ht="15.75" customHeight="1" s="54"/>
    <row r="43" ht="15.75" customHeight="1" s="54"/>
    <row r="44" ht="15.75" customHeight="1" s="54"/>
    <row r="45" ht="15.75" customHeight="1" s="54"/>
    <row r="46" ht="15.75" customHeight="1" s="54"/>
    <row r="47" ht="15.75" customHeight="1" s="54"/>
    <row r="48" ht="15.75" customHeight="1" s="54"/>
    <row r="49" ht="15.75" customHeight="1" s="54"/>
    <row r="50" ht="15.75" customHeight="1" s="54"/>
    <row r="51" ht="15.75" customHeight="1" s="54"/>
    <row r="52" ht="15.75" customHeight="1" s="54"/>
    <row r="53" ht="15.75" customHeight="1" s="54"/>
    <row r="54" ht="15.75" customHeight="1" s="54"/>
    <row r="55" ht="15.75" customHeight="1" s="54"/>
    <row r="56" ht="15.75" customHeight="1" s="54"/>
    <row r="57" ht="15.75" customHeight="1" s="54"/>
    <row r="58" ht="15.75" customHeight="1" s="54"/>
    <row r="59" ht="15.75" customHeight="1" s="54"/>
    <row r="60" ht="15.75" customHeight="1" s="54"/>
    <row r="61" ht="15.75" customHeight="1" s="54"/>
    <row r="62" ht="15.75" customHeight="1" s="54"/>
    <row r="63" ht="15.75" customHeight="1" s="54"/>
    <row r="64" ht="15.75" customHeight="1" s="54"/>
    <row r="65" ht="15.75" customHeight="1" s="54"/>
    <row r="66" ht="15.75" customHeight="1" s="54"/>
    <row r="67" ht="15.75" customHeight="1" s="54"/>
    <row r="68" ht="15.75" customHeight="1" s="54"/>
    <row r="69" ht="15.75" customHeight="1" s="54"/>
    <row r="70" ht="15.75" customHeight="1" s="54"/>
    <row r="71" ht="15.75" customHeight="1" s="54"/>
    <row r="72" ht="15.75" customHeight="1" s="54"/>
    <row r="73" ht="15.75" customHeight="1" s="54"/>
    <row r="74" ht="15.75" customHeight="1" s="54"/>
    <row r="75" ht="15.75" customHeight="1" s="54"/>
    <row r="76" ht="15.75" customHeight="1" s="54"/>
    <row r="77" ht="15.75" customHeight="1" s="54"/>
    <row r="78" ht="15.75" customHeight="1" s="54"/>
    <row r="79" ht="15.75" customHeight="1" s="54"/>
    <row r="80" ht="15.75" customHeight="1" s="54"/>
    <row r="81" ht="15.75" customHeight="1" s="54"/>
    <row r="82" ht="15.75" customHeight="1" s="54"/>
    <row r="83" ht="15.75" customHeight="1" s="54"/>
    <row r="84" ht="15.75" customHeight="1" s="54"/>
    <row r="85" ht="15.75" customHeight="1" s="54"/>
    <row r="86" ht="15.75" customHeight="1" s="54"/>
    <row r="87" ht="15.75" customHeight="1" s="54"/>
    <row r="88" ht="15.75" customHeight="1" s="54"/>
    <row r="89" ht="15.75" customHeight="1" s="54"/>
    <row r="90" ht="15.75" customHeight="1" s="54"/>
    <row r="91" ht="15.75" customHeight="1" s="54"/>
    <row r="92" ht="15.75" customHeight="1" s="54"/>
    <row r="93" ht="15.75" customHeight="1" s="54"/>
    <row r="94" ht="15.75" customHeight="1" s="54"/>
    <row r="95" ht="15.75" customHeight="1" s="54"/>
    <row r="96" ht="15.75" customHeight="1" s="54"/>
    <row r="97" ht="15.75" customHeight="1" s="54"/>
    <row r="98" ht="15.75" customHeight="1" s="54"/>
    <row r="99" ht="15.75" customHeight="1" s="54"/>
    <row r="100" ht="15.75" customHeight="1" s="54"/>
    <row r="101" ht="15.75" customHeight="1" s="54"/>
    <row r="102" ht="15.75" customHeight="1" s="54"/>
    <row r="103" ht="15.75" customHeight="1" s="54"/>
    <row r="104" ht="15.75" customHeight="1" s="54"/>
    <row r="105" ht="15.75" customHeight="1" s="54"/>
    <row r="106" ht="15.75" customHeight="1" s="54"/>
    <row r="107" ht="15.75" customHeight="1" s="54"/>
    <row r="108" ht="15.75" customHeight="1" s="54"/>
    <row r="109" ht="15.75" customHeight="1" s="54"/>
    <row r="110" ht="15.75" customHeight="1" s="54"/>
    <row r="111" ht="15.75" customHeight="1" s="54"/>
    <row r="112" ht="15.75" customHeight="1" s="54"/>
    <row r="113" ht="15.75" customHeight="1" s="54"/>
    <row r="114" ht="15.75" customHeight="1" s="54"/>
    <row r="115" ht="15.75" customHeight="1" s="54"/>
    <row r="116" ht="15.75" customHeight="1" s="54"/>
    <row r="117" ht="15.75" customHeight="1" s="54"/>
    <row r="118" ht="15.75" customHeight="1" s="54"/>
    <row r="119" ht="15.75" customHeight="1" s="54"/>
    <row r="120" ht="15.75" customHeight="1" s="54"/>
    <row r="121" ht="15.75" customHeight="1" s="54"/>
    <row r="122" ht="15.75" customHeight="1" s="54"/>
    <row r="123" ht="15.75" customHeight="1" s="54"/>
    <row r="124" ht="15.75" customHeight="1" s="54"/>
    <row r="125" ht="15.75" customHeight="1" s="54"/>
    <row r="126" ht="15.75" customHeight="1" s="54"/>
    <row r="127" ht="15.75" customHeight="1" s="54"/>
    <row r="128" ht="15.75" customHeight="1" s="54"/>
    <row r="129" ht="15.75" customHeight="1" s="54"/>
    <row r="130" ht="15.75" customHeight="1" s="54"/>
    <row r="131" ht="15.75" customHeight="1" s="54"/>
    <row r="132" ht="15.75" customHeight="1" s="54"/>
    <row r="133" ht="15.75" customHeight="1" s="54"/>
    <row r="134" ht="15.75" customHeight="1" s="54"/>
    <row r="135" ht="15.75" customHeight="1" s="54"/>
    <row r="136" ht="15.75" customHeight="1" s="54"/>
    <row r="137" ht="15.75" customHeight="1" s="54"/>
    <row r="138" ht="15.75" customHeight="1" s="54"/>
    <row r="139" ht="15.75" customHeight="1" s="54"/>
    <row r="140" ht="15.75" customHeight="1" s="54"/>
    <row r="141" ht="15.75" customHeight="1" s="54"/>
    <row r="142" ht="15.75" customHeight="1" s="54"/>
    <row r="143" ht="15.75" customHeight="1" s="54"/>
    <row r="144" ht="15.75" customHeight="1" s="54"/>
    <row r="145" ht="15.75" customHeight="1" s="54"/>
    <row r="146" ht="15.75" customHeight="1" s="54"/>
    <row r="147" ht="15.75" customHeight="1" s="54"/>
    <row r="148" ht="15.75" customHeight="1" s="54"/>
    <row r="149" ht="15.75" customHeight="1" s="54"/>
    <row r="150" ht="15.75" customHeight="1" s="54"/>
    <row r="151" ht="15.75" customHeight="1" s="54"/>
    <row r="152" ht="15.75" customHeight="1" s="54"/>
    <row r="153" ht="15.75" customHeight="1" s="54"/>
    <row r="154" ht="15.75" customHeight="1" s="54"/>
    <row r="155" ht="15.75" customHeight="1" s="54"/>
    <row r="156" ht="15.75" customHeight="1" s="54"/>
    <row r="157" ht="15.75" customHeight="1" s="54"/>
    <row r="158" ht="15.75" customHeight="1" s="54"/>
    <row r="159" ht="15.75" customHeight="1" s="54"/>
    <row r="160" ht="15.75" customHeight="1" s="54"/>
    <row r="161" ht="15.75" customHeight="1" s="54"/>
    <row r="162" ht="15.75" customHeight="1" s="54"/>
    <row r="163" ht="15.75" customHeight="1" s="54"/>
    <row r="164" ht="15.75" customHeight="1" s="54"/>
    <row r="165" ht="15.75" customHeight="1" s="54"/>
    <row r="166" ht="15.75" customHeight="1" s="54"/>
    <row r="167" ht="15.75" customHeight="1" s="54"/>
    <row r="168" ht="15.75" customHeight="1" s="54"/>
    <row r="169" ht="15.75" customHeight="1" s="54"/>
    <row r="170" ht="15.75" customHeight="1" s="54"/>
    <row r="171" ht="15.75" customHeight="1" s="54"/>
    <row r="172" ht="15.75" customHeight="1" s="54"/>
    <row r="173" ht="15.75" customHeight="1" s="54"/>
    <row r="174" ht="15.75" customHeight="1" s="54"/>
    <row r="175" ht="15.75" customHeight="1" s="54"/>
    <row r="176" ht="15.75" customHeight="1" s="54"/>
    <row r="177" ht="15.75" customHeight="1" s="54"/>
    <row r="178" ht="15.75" customHeight="1" s="54"/>
    <row r="179" ht="15.75" customHeight="1" s="54"/>
    <row r="180" ht="15.75" customHeight="1" s="54"/>
    <row r="181" ht="15.75" customHeight="1" s="54"/>
    <row r="182" ht="15.75" customHeight="1" s="54"/>
    <row r="183" ht="15.75" customHeight="1" s="54"/>
    <row r="184" ht="15.75" customHeight="1" s="54"/>
    <row r="185" ht="15.75" customHeight="1" s="54"/>
    <row r="186" ht="15.75" customHeight="1" s="54"/>
    <row r="187" ht="15.75" customHeight="1" s="54"/>
    <row r="188" ht="15.75" customHeight="1" s="54"/>
    <row r="189" ht="15.75" customHeight="1" s="54"/>
    <row r="190" ht="15.75" customHeight="1" s="54"/>
    <row r="191" ht="15.75" customHeight="1" s="54"/>
    <row r="192" ht="15.75" customHeight="1" s="54"/>
    <row r="193" ht="15.75" customHeight="1" s="54"/>
    <row r="194" ht="15.75" customHeight="1" s="54"/>
    <row r="195" ht="15.75" customHeight="1" s="54"/>
    <row r="196" ht="15.75" customHeight="1" s="54"/>
    <row r="197" ht="15.75" customHeight="1" s="54"/>
    <row r="198" ht="15.75" customHeight="1" s="54"/>
    <row r="199" ht="15.75" customHeight="1" s="54"/>
    <row r="200" ht="15.75" customHeight="1" s="54"/>
    <row r="201" ht="15.75" customHeight="1" s="54"/>
    <row r="202" ht="15.75" customHeight="1" s="54"/>
    <row r="203" ht="15.75" customHeight="1" s="54"/>
    <row r="204" ht="15.75" customHeight="1" s="54"/>
    <row r="205" ht="15.75" customHeight="1" s="54"/>
    <row r="206" ht="15.75" customHeight="1" s="54"/>
    <row r="207" ht="15.75" customHeight="1" s="54"/>
    <row r="208" ht="15.75" customHeight="1" s="54"/>
    <row r="209" ht="15.75" customHeight="1" s="54"/>
    <row r="210" ht="15.75" customHeight="1" s="54"/>
    <row r="211" ht="15.75" customHeight="1" s="54"/>
    <row r="212" ht="15.75" customHeight="1" s="54"/>
    <row r="213" ht="15.75" customHeight="1" s="54"/>
    <row r="214" ht="15.75" customHeight="1" s="54"/>
    <row r="215" ht="15.75" customHeight="1" s="54"/>
    <row r="216" ht="15.75" customHeight="1" s="54"/>
    <row r="217" ht="15.75" customHeight="1" s="54"/>
    <row r="218" ht="15.75" customHeight="1" s="54"/>
    <row r="219" ht="15.75" customHeight="1" s="54"/>
    <row r="220" ht="15.75" customHeight="1" s="54"/>
    <row r="221" ht="15.75" customHeight="1" s="54"/>
    <row r="222" ht="15.75" customHeight="1" s="54"/>
    <row r="223" ht="15.75" customHeight="1" s="54"/>
    <row r="224" ht="15.75" customHeight="1" s="54"/>
    <row r="225" ht="15.75" customHeight="1" s="54"/>
    <row r="226" ht="15.75" customHeight="1" s="54"/>
    <row r="227" ht="15.75" customHeight="1" s="54"/>
    <row r="228" ht="15.75" customHeight="1" s="54"/>
    <row r="229" ht="15.75" customHeight="1" s="54"/>
    <row r="230" ht="15.75" customHeight="1" s="54"/>
    <row r="231" ht="15.75" customHeight="1" s="54"/>
    <row r="232" ht="15.75" customHeight="1" s="54"/>
    <row r="233" ht="15.75" customHeight="1" s="54"/>
    <row r="234" ht="15.75" customHeight="1" s="54"/>
    <row r="235" ht="15.75" customHeight="1" s="54"/>
    <row r="236" ht="15.75" customHeight="1" s="54"/>
    <row r="237" ht="15.75" customHeight="1" s="54"/>
    <row r="238" ht="15.75" customHeight="1" s="54"/>
    <row r="239" ht="15.75" customHeight="1" s="54"/>
    <row r="240" ht="15.75" customHeight="1" s="54"/>
    <row r="241" ht="15.75" customHeight="1" s="54"/>
    <row r="242" ht="15.75" customHeight="1" s="54"/>
    <row r="243" ht="15.75" customHeight="1" s="54"/>
    <row r="244" ht="15.75" customHeight="1" s="54"/>
    <row r="245" ht="15.75" customHeight="1" s="54"/>
    <row r="246" ht="15.75" customHeight="1" s="54"/>
    <row r="247" ht="15.75" customHeight="1" s="54"/>
    <row r="248" ht="15.75" customHeight="1" s="54"/>
    <row r="249" ht="15.75" customHeight="1" s="54"/>
    <row r="250" ht="15.75" customHeight="1" s="54"/>
    <row r="251" ht="15.75" customHeight="1" s="54"/>
    <row r="252" ht="15.75" customHeight="1" s="54"/>
    <row r="253" ht="15.75" customHeight="1" s="54"/>
    <row r="254" ht="15.75" customHeight="1" s="54"/>
    <row r="255" ht="15.75" customHeight="1" s="54"/>
    <row r="256" ht="15.75" customHeight="1" s="54"/>
    <row r="257" ht="15.75" customHeight="1" s="54"/>
    <row r="258" ht="15.75" customHeight="1" s="54"/>
    <row r="259" ht="15.75" customHeight="1" s="54"/>
    <row r="260" ht="15.75" customHeight="1" s="54"/>
    <row r="261" ht="15.75" customHeight="1" s="54"/>
    <row r="262" ht="15.75" customHeight="1" s="54"/>
    <row r="263" ht="15.75" customHeight="1" s="54"/>
    <row r="264" ht="15.75" customHeight="1" s="54"/>
    <row r="265" ht="15.75" customHeight="1" s="54"/>
    <row r="266" ht="15.75" customHeight="1" s="54"/>
    <row r="267" ht="15.75" customHeight="1" s="54"/>
    <row r="268" ht="15.75" customHeight="1" s="54"/>
    <row r="269" ht="15.75" customHeight="1" s="54"/>
    <row r="270" ht="15.75" customHeight="1" s="54"/>
    <row r="271" ht="15.75" customHeight="1" s="54"/>
    <row r="272" ht="15.75" customHeight="1" s="54"/>
    <row r="273" ht="15.75" customHeight="1" s="54"/>
    <row r="274" ht="15.75" customHeight="1" s="54"/>
    <row r="275" ht="15.75" customHeight="1" s="54"/>
    <row r="276" ht="15.75" customHeight="1" s="54"/>
    <row r="277" ht="15.75" customHeight="1" s="54"/>
    <row r="278" ht="15.75" customHeight="1" s="54"/>
    <row r="279" ht="15.75" customHeight="1" s="54"/>
    <row r="280" ht="15.75" customHeight="1" s="54"/>
    <row r="281" ht="15.75" customHeight="1" s="54"/>
    <row r="282" ht="15.75" customHeight="1" s="54"/>
    <row r="283" ht="15.75" customHeight="1" s="54"/>
    <row r="284" ht="15.75" customHeight="1" s="54"/>
    <row r="285" ht="15.75" customHeight="1" s="54"/>
    <row r="286" ht="15.75" customHeight="1" s="54"/>
    <row r="287" ht="15.75" customHeight="1" s="54"/>
    <row r="288" ht="15.75" customHeight="1" s="54"/>
    <row r="289" ht="15.75" customHeight="1" s="54"/>
    <row r="290" ht="15.75" customHeight="1" s="54"/>
    <row r="291" ht="15.75" customHeight="1" s="54"/>
    <row r="292" ht="15.75" customHeight="1" s="54"/>
    <row r="293" ht="15.75" customHeight="1" s="54"/>
    <row r="294" ht="15.75" customHeight="1" s="54"/>
    <row r="295" ht="15.75" customHeight="1" s="54"/>
    <row r="296" ht="15.75" customHeight="1" s="54"/>
    <row r="297" ht="15.75" customHeight="1" s="54"/>
    <row r="298" ht="15.75" customHeight="1" s="54"/>
    <row r="299" ht="15.75" customHeight="1" s="54"/>
    <row r="300" ht="15.75" customHeight="1" s="54"/>
    <row r="301" ht="15.75" customHeight="1" s="54"/>
    <row r="302" ht="15.75" customHeight="1" s="54"/>
    <row r="303" ht="15.75" customHeight="1" s="54"/>
    <row r="304" ht="15.75" customHeight="1" s="54"/>
    <row r="305" ht="15.75" customHeight="1" s="54"/>
    <row r="306" ht="15.75" customHeight="1" s="54"/>
    <row r="307" ht="15.75" customHeight="1" s="54"/>
    <row r="308" ht="15.75" customHeight="1" s="54"/>
    <row r="309" ht="15.75" customHeight="1" s="54"/>
    <row r="310" ht="15.75" customHeight="1" s="54"/>
    <row r="311" ht="15.75" customHeight="1" s="54"/>
    <row r="312" ht="15.75" customHeight="1" s="54"/>
    <row r="313" ht="15.75" customHeight="1" s="54"/>
    <row r="314" ht="15.75" customHeight="1" s="54"/>
    <row r="315" ht="15.75" customHeight="1" s="54"/>
    <row r="316" ht="15.75" customHeight="1" s="54"/>
    <row r="317" ht="15.75" customHeight="1" s="54"/>
    <row r="318" ht="15.75" customHeight="1" s="54"/>
    <row r="319" ht="15.75" customHeight="1" s="54"/>
    <row r="320" ht="15.75" customHeight="1" s="54"/>
    <row r="321" ht="15.75" customHeight="1" s="54"/>
    <row r="322" ht="15.75" customHeight="1" s="54"/>
    <row r="323" ht="15.75" customHeight="1" s="54"/>
    <row r="324" ht="15.75" customHeight="1" s="54"/>
    <row r="325" ht="15.75" customHeight="1" s="54"/>
    <row r="326" ht="15.75" customHeight="1" s="54"/>
    <row r="327" ht="15.75" customHeight="1" s="54"/>
    <row r="328" ht="15.75" customHeight="1" s="54"/>
    <row r="329" ht="15.75" customHeight="1" s="54"/>
    <row r="330" ht="15.75" customHeight="1" s="54"/>
    <row r="331" ht="15.75" customHeight="1" s="54"/>
    <row r="332" ht="15.75" customHeight="1" s="54"/>
    <row r="333" ht="15.75" customHeight="1" s="54"/>
    <row r="334" ht="15.75" customHeight="1" s="54"/>
    <row r="335" ht="15.75" customHeight="1" s="54"/>
    <row r="336" ht="15.75" customHeight="1" s="54"/>
    <row r="337" ht="15.75" customHeight="1" s="54"/>
    <row r="338" ht="15.75" customHeight="1" s="54"/>
    <row r="339" ht="15.75" customHeight="1" s="54"/>
    <row r="340" ht="15.75" customHeight="1" s="54"/>
    <row r="341" ht="15.75" customHeight="1" s="54"/>
    <row r="342" ht="15.75" customHeight="1" s="54"/>
    <row r="343" ht="15.75" customHeight="1" s="54"/>
    <row r="344" ht="15.75" customHeight="1" s="54"/>
    <row r="345" ht="15.75" customHeight="1" s="54"/>
    <row r="346" ht="15.75" customHeight="1" s="54"/>
    <row r="347" ht="15.75" customHeight="1" s="54"/>
    <row r="348" ht="15.75" customHeight="1" s="54"/>
    <row r="349" ht="15.75" customHeight="1" s="54"/>
    <row r="350" ht="15.75" customHeight="1" s="54"/>
    <row r="351" ht="15.75" customHeight="1" s="54"/>
    <row r="352" ht="15.75" customHeight="1" s="54"/>
    <row r="353" ht="15.75" customHeight="1" s="54"/>
    <row r="354" ht="15.75" customHeight="1" s="54"/>
    <row r="355" ht="15.75" customHeight="1" s="54"/>
    <row r="356" ht="15.75" customHeight="1" s="54"/>
    <row r="357" ht="15.75" customHeight="1" s="54"/>
    <row r="358" ht="15.75" customHeight="1" s="54"/>
    <row r="359" ht="15.75" customHeight="1" s="54"/>
    <row r="360" ht="15.75" customHeight="1" s="54"/>
    <row r="361" ht="15.75" customHeight="1" s="54"/>
    <row r="362" ht="15.75" customHeight="1" s="54"/>
    <row r="363" ht="15.75" customHeight="1" s="54"/>
    <row r="364" ht="15.75" customHeight="1" s="54"/>
    <row r="365" ht="15.75" customHeight="1" s="54"/>
    <row r="366" ht="15.75" customHeight="1" s="54"/>
    <row r="367" ht="15.75" customHeight="1" s="54"/>
    <row r="368" ht="15.75" customHeight="1" s="54"/>
    <row r="369" ht="15.75" customHeight="1" s="54"/>
    <row r="370" ht="15.75" customHeight="1" s="54"/>
    <row r="371" ht="15.75" customHeight="1" s="54"/>
    <row r="372" ht="15.75" customHeight="1" s="54"/>
    <row r="373" ht="15.75" customHeight="1" s="54"/>
    <row r="374" ht="15.75" customHeight="1" s="54"/>
    <row r="375" ht="15.75" customHeight="1" s="54"/>
    <row r="376" ht="15.75" customHeight="1" s="54"/>
    <row r="377" ht="15.75" customHeight="1" s="54"/>
    <row r="378" ht="15.75" customHeight="1" s="54"/>
    <row r="379" ht="15.75" customHeight="1" s="54"/>
    <row r="380" ht="15.75" customHeight="1" s="54"/>
    <row r="381" ht="15.75" customHeight="1" s="54"/>
    <row r="382" ht="15.75" customHeight="1" s="54"/>
    <row r="383" ht="15.75" customHeight="1" s="54"/>
    <row r="384" ht="15.75" customHeight="1" s="54"/>
    <row r="385" ht="15.75" customHeight="1" s="54"/>
    <row r="386" ht="15.75" customHeight="1" s="54"/>
    <row r="387" ht="15.75" customHeight="1" s="54"/>
    <row r="388" ht="15.75" customHeight="1" s="54"/>
    <row r="389" ht="15.75" customHeight="1" s="54"/>
    <row r="390" ht="15.75" customHeight="1" s="54"/>
    <row r="391" ht="15.75" customHeight="1" s="54"/>
    <row r="392" ht="15.75" customHeight="1" s="54"/>
    <row r="393" ht="15.75" customHeight="1" s="54"/>
    <row r="394" ht="15.75" customHeight="1" s="54"/>
    <row r="395" ht="15.75" customHeight="1" s="54"/>
    <row r="396" ht="15.75" customHeight="1" s="54"/>
    <row r="397" ht="15.75" customHeight="1" s="54"/>
    <row r="398" ht="15.75" customHeight="1" s="54"/>
    <row r="399" ht="15.75" customHeight="1" s="54"/>
    <row r="400" ht="15.75" customHeight="1" s="54"/>
    <row r="401" ht="15.75" customHeight="1" s="54"/>
    <row r="402" ht="15.75" customHeight="1" s="54"/>
    <row r="403" ht="15.75" customHeight="1" s="54"/>
    <row r="404" ht="15.75" customHeight="1" s="54"/>
    <row r="405" ht="15.75" customHeight="1" s="54"/>
    <row r="406" ht="15.75" customHeight="1" s="54"/>
    <row r="407" ht="15.75" customHeight="1" s="54"/>
    <row r="408" ht="15.75" customHeight="1" s="54"/>
    <row r="409" ht="15.75" customHeight="1" s="54"/>
    <row r="410" ht="15.75" customHeight="1" s="54"/>
    <row r="411" ht="15.75" customHeight="1" s="54"/>
    <row r="412" ht="15.75" customHeight="1" s="54"/>
    <row r="413" ht="15.75" customHeight="1" s="54"/>
    <row r="414" ht="15.75" customHeight="1" s="54"/>
    <row r="415" ht="15.75" customHeight="1" s="54"/>
    <row r="416" ht="15.75" customHeight="1" s="54"/>
    <row r="417" ht="15.75" customHeight="1" s="54"/>
    <row r="418" ht="15.75" customHeight="1" s="54"/>
    <row r="419" ht="15.75" customHeight="1" s="54"/>
    <row r="420" ht="15.75" customHeight="1" s="54"/>
    <row r="421" ht="15.75" customHeight="1" s="54"/>
    <row r="422" ht="15.75" customHeight="1" s="54"/>
    <row r="423" ht="15.75" customHeight="1" s="54"/>
    <row r="424" ht="15.75" customHeight="1" s="54"/>
    <row r="425" ht="15.75" customHeight="1" s="54"/>
    <row r="426" ht="15.75" customHeight="1" s="54"/>
    <row r="427" ht="15.75" customHeight="1" s="54"/>
    <row r="428" ht="15.75" customHeight="1" s="54"/>
    <row r="429" ht="15.75" customHeight="1" s="54"/>
    <row r="430" ht="15.75" customHeight="1" s="54"/>
    <row r="431" ht="15.75" customHeight="1" s="54"/>
    <row r="432" ht="15.75" customHeight="1" s="54"/>
    <row r="433" ht="15.75" customHeight="1" s="54"/>
    <row r="434" ht="15.75" customHeight="1" s="54"/>
    <row r="435" ht="15.75" customHeight="1" s="54"/>
    <row r="436" ht="15.75" customHeight="1" s="54"/>
    <row r="437" ht="15.75" customHeight="1" s="54"/>
    <row r="438" ht="15.75" customHeight="1" s="54"/>
    <row r="439" ht="15.75" customHeight="1" s="54"/>
    <row r="440" ht="15.75" customHeight="1" s="54"/>
    <row r="441" ht="15.75" customHeight="1" s="54"/>
    <row r="442" ht="15.75" customHeight="1" s="54"/>
    <row r="443" ht="15.75" customHeight="1" s="54"/>
    <row r="444" ht="15.75" customHeight="1" s="54"/>
    <row r="445" ht="15.75" customHeight="1" s="54"/>
    <row r="446" ht="15.75" customHeight="1" s="54"/>
    <row r="447" ht="15.75" customHeight="1" s="54"/>
    <row r="448" ht="15.75" customHeight="1" s="54"/>
    <row r="449" ht="15.75" customHeight="1" s="54"/>
    <row r="450" ht="15.75" customHeight="1" s="54"/>
    <row r="451" ht="15.75" customHeight="1" s="54"/>
    <row r="452" ht="15.75" customHeight="1" s="54"/>
    <row r="453" ht="15.75" customHeight="1" s="54"/>
    <row r="454" ht="15.75" customHeight="1" s="54"/>
    <row r="455" ht="15.75" customHeight="1" s="54"/>
    <row r="456" ht="15.75" customHeight="1" s="54"/>
    <row r="457" ht="15.75" customHeight="1" s="54"/>
    <row r="458" ht="15.75" customHeight="1" s="54"/>
    <row r="459" ht="15.75" customHeight="1" s="54"/>
    <row r="460" ht="15.75" customHeight="1" s="54"/>
    <row r="461" ht="15.75" customHeight="1" s="54"/>
    <row r="462" ht="15.75" customHeight="1" s="54"/>
    <row r="463" ht="15.75" customHeight="1" s="54"/>
    <row r="464" ht="15.75" customHeight="1" s="54"/>
    <row r="465" ht="15.75" customHeight="1" s="54"/>
    <row r="466" ht="15.75" customHeight="1" s="54"/>
    <row r="467" ht="15.75" customHeight="1" s="54"/>
    <row r="468" ht="15.75" customHeight="1" s="54"/>
    <row r="469" ht="15.75" customHeight="1" s="54"/>
    <row r="470" ht="15.75" customHeight="1" s="54"/>
    <row r="471" ht="15.75" customHeight="1" s="54"/>
    <row r="472" ht="15.75" customHeight="1" s="54"/>
    <row r="473" ht="15.75" customHeight="1" s="54"/>
    <row r="474" ht="15.75" customHeight="1" s="54"/>
    <row r="475" ht="15.75" customHeight="1" s="54"/>
    <row r="476" ht="15.75" customHeight="1" s="54"/>
    <row r="477" ht="15.75" customHeight="1" s="54"/>
    <row r="478" ht="15.75" customHeight="1" s="54"/>
    <row r="479" ht="15.75" customHeight="1" s="54"/>
    <row r="480" ht="15.75" customHeight="1" s="54"/>
    <row r="481" ht="15.75" customHeight="1" s="54"/>
    <row r="482" ht="15.75" customHeight="1" s="54"/>
    <row r="483" ht="15.75" customHeight="1" s="54"/>
    <row r="484" ht="15.75" customHeight="1" s="54"/>
    <row r="485" ht="15.75" customHeight="1" s="54"/>
    <row r="486" ht="15.75" customHeight="1" s="54"/>
    <row r="487" ht="15.75" customHeight="1" s="54"/>
    <row r="488" ht="15.75" customHeight="1" s="54"/>
    <row r="489" ht="15.75" customHeight="1" s="54"/>
    <row r="490" ht="15.75" customHeight="1" s="54"/>
    <row r="491" ht="15.75" customHeight="1" s="54"/>
    <row r="492" ht="15.75" customHeight="1" s="54"/>
    <row r="493" ht="15.75" customHeight="1" s="54"/>
    <row r="494" ht="15.75" customHeight="1" s="54"/>
    <row r="495" ht="15.75" customHeight="1" s="54"/>
    <row r="496" ht="15.75" customHeight="1" s="54"/>
    <row r="497" ht="15.75" customHeight="1" s="54"/>
    <row r="498" ht="15.75" customHeight="1" s="54"/>
    <row r="499" ht="15.75" customHeight="1" s="54"/>
    <row r="500" ht="15.75" customHeight="1" s="54"/>
    <row r="501" ht="15.75" customHeight="1" s="54"/>
    <row r="502" ht="15.75" customHeight="1" s="54"/>
    <row r="503" ht="15.75" customHeight="1" s="54"/>
    <row r="504" ht="15.75" customHeight="1" s="54"/>
    <row r="505" ht="15.75" customHeight="1" s="54"/>
    <row r="506" ht="15.75" customHeight="1" s="54"/>
    <row r="507" ht="15.75" customHeight="1" s="54"/>
    <row r="508" ht="15.75" customHeight="1" s="54"/>
    <row r="509" ht="15.75" customHeight="1" s="54"/>
    <row r="510" ht="15.75" customHeight="1" s="54"/>
    <row r="511" ht="15.75" customHeight="1" s="54"/>
    <row r="512" ht="15.75" customHeight="1" s="54"/>
    <row r="513" ht="15.75" customHeight="1" s="54"/>
    <row r="514" ht="15.75" customHeight="1" s="54"/>
    <row r="515" ht="15.75" customHeight="1" s="54"/>
    <row r="516" ht="15.75" customHeight="1" s="54"/>
    <row r="517" ht="15.75" customHeight="1" s="54"/>
    <row r="518" ht="15.75" customHeight="1" s="54"/>
    <row r="519" ht="15.75" customHeight="1" s="54"/>
    <row r="520" ht="15.75" customHeight="1" s="54"/>
    <row r="521" ht="15.75" customHeight="1" s="54"/>
    <row r="522" ht="15.75" customHeight="1" s="54"/>
    <row r="523" ht="15.75" customHeight="1" s="54"/>
    <row r="524" ht="15.75" customHeight="1" s="54"/>
    <row r="525" ht="15.75" customHeight="1" s="54"/>
    <row r="526" ht="15.75" customHeight="1" s="54"/>
    <row r="527" ht="15.75" customHeight="1" s="54"/>
    <row r="528" ht="15.75" customHeight="1" s="54"/>
    <row r="529" ht="15.75" customHeight="1" s="54"/>
    <row r="530" ht="15.75" customHeight="1" s="54"/>
    <row r="531" ht="15.75" customHeight="1" s="54"/>
    <row r="532" ht="15.75" customHeight="1" s="54"/>
    <row r="533" ht="15.75" customHeight="1" s="54"/>
    <row r="534" ht="15.75" customHeight="1" s="54"/>
    <row r="535" ht="15.75" customHeight="1" s="54"/>
    <row r="536" ht="15.75" customHeight="1" s="54"/>
    <row r="537" ht="15.75" customHeight="1" s="54"/>
    <row r="538" ht="15.75" customHeight="1" s="54"/>
    <row r="539" ht="15.75" customHeight="1" s="54"/>
    <row r="540" ht="15.75" customHeight="1" s="54"/>
    <row r="541" ht="15.75" customHeight="1" s="54"/>
    <row r="542" ht="15.75" customHeight="1" s="54"/>
    <row r="543" ht="15.75" customHeight="1" s="54"/>
    <row r="544" ht="15.75" customHeight="1" s="54"/>
    <row r="545" ht="15.75" customHeight="1" s="54"/>
    <row r="546" ht="15.75" customHeight="1" s="54"/>
    <row r="547" ht="15.75" customHeight="1" s="54"/>
    <row r="548" ht="15.75" customHeight="1" s="54"/>
    <row r="549" ht="15.75" customHeight="1" s="54"/>
    <row r="550" ht="15.75" customHeight="1" s="54"/>
    <row r="551" ht="15.75" customHeight="1" s="54"/>
    <row r="552" ht="15.75" customHeight="1" s="54"/>
    <row r="553" ht="15.75" customHeight="1" s="54"/>
    <row r="554" ht="15.75" customHeight="1" s="54"/>
    <row r="555" ht="15.75" customHeight="1" s="54"/>
    <row r="556" ht="15.75" customHeight="1" s="54"/>
    <row r="557" ht="15.75" customHeight="1" s="54"/>
    <row r="558" ht="15.75" customHeight="1" s="54"/>
    <row r="559" ht="15.75" customHeight="1" s="54"/>
    <row r="560" ht="15.75" customHeight="1" s="54"/>
    <row r="561" ht="15.75" customHeight="1" s="54"/>
    <row r="562" ht="15.75" customHeight="1" s="54"/>
    <row r="563" ht="15.75" customHeight="1" s="54"/>
    <row r="564" ht="15.75" customHeight="1" s="54"/>
    <row r="565" ht="15.75" customHeight="1" s="54"/>
    <row r="566" ht="15.75" customHeight="1" s="54"/>
    <row r="567" ht="15.75" customHeight="1" s="54"/>
    <row r="568" ht="15.75" customHeight="1" s="54"/>
    <row r="569" ht="15.75" customHeight="1" s="54"/>
    <row r="570" ht="15.75" customHeight="1" s="54"/>
    <row r="571" ht="15.75" customHeight="1" s="54"/>
    <row r="572" ht="15.75" customHeight="1" s="54"/>
    <row r="573" ht="15.75" customHeight="1" s="54"/>
    <row r="574" ht="15.75" customHeight="1" s="54"/>
    <row r="575" ht="15.75" customHeight="1" s="54"/>
    <row r="576" ht="15.75" customHeight="1" s="54"/>
    <row r="577" ht="15.75" customHeight="1" s="54"/>
    <row r="578" ht="15.75" customHeight="1" s="54"/>
    <row r="579" ht="15.75" customHeight="1" s="54"/>
    <row r="580" ht="15.75" customHeight="1" s="54"/>
    <row r="581" ht="15.75" customHeight="1" s="54"/>
    <row r="582" ht="15.75" customHeight="1" s="54"/>
    <row r="583" ht="15.75" customHeight="1" s="54"/>
    <row r="584" ht="15.75" customHeight="1" s="54"/>
    <row r="585" ht="15.75" customHeight="1" s="54"/>
    <row r="586" ht="15.75" customHeight="1" s="54"/>
    <row r="587" ht="15.75" customHeight="1" s="54"/>
    <row r="588" ht="15.75" customHeight="1" s="54"/>
    <row r="589" ht="15.75" customHeight="1" s="54"/>
    <row r="590" ht="15.75" customHeight="1" s="54"/>
    <row r="591" ht="15.75" customHeight="1" s="54"/>
    <row r="592" ht="15.75" customHeight="1" s="54"/>
    <row r="593" ht="15.75" customHeight="1" s="54"/>
    <row r="594" ht="15.75" customHeight="1" s="54"/>
    <row r="595" ht="15.75" customHeight="1" s="54"/>
    <row r="596" ht="15.75" customHeight="1" s="54"/>
    <row r="597" ht="15.75" customHeight="1" s="54"/>
    <row r="598" ht="15.75" customHeight="1" s="54"/>
    <row r="599" ht="15.75" customHeight="1" s="54"/>
    <row r="600" ht="15.75" customHeight="1" s="54"/>
    <row r="601" ht="15.75" customHeight="1" s="54"/>
    <row r="602" ht="15.75" customHeight="1" s="54"/>
    <row r="603" ht="15.75" customHeight="1" s="54"/>
    <row r="604" ht="15.75" customHeight="1" s="54"/>
    <row r="605" ht="15.75" customHeight="1" s="54"/>
    <row r="606" ht="15.75" customHeight="1" s="54"/>
    <row r="607" ht="15.75" customHeight="1" s="54"/>
    <row r="608" ht="15.75" customHeight="1" s="54"/>
    <row r="609" ht="15.75" customHeight="1" s="54"/>
    <row r="610" ht="15.75" customHeight="1" s="54"/>
    <row r="611" ht="15.75" customHeight="1" s="54"/>
    <row r="612" ht="15.75" customHeight="1" s="54"/>
    <row r="613" ht="15.75" customHeight="1" s="54"/>
    <row r="614" ht="15.75" customHeight="1" s="54"/>
    <row r="615" ht="15.75" customHeight="1" s="54"/>
    <row r="616" ht="15.75" customHeight="1" s="54"/>
    <row r="617" ht="15.75" customHeight="1" s="54"/>
    <row r="618" ht="15.75" customHeight="1" s="54"/>
    <row r="619" ht="15.75" customHeight="1" s="54"/>
    <row r="620" ht="15.75" customHeight="1" s="54"/>
    <row r="621" ht="15.75" customHeight="1" s="54"/>
    <row r="622" ht="15.75" customHeight="1" s="54"/>
    <row r="623" ht="15.75" customHeight="1" s="54"/>
    <row r="624" ht="15.75" customHeight="1" s="54"/>
    <row r="625" ht="15.75" customHeight="1" s="54"/>
    <row r="626" ht="15.75" customHeight="1" s="54"/>
    <row r="627" ht="15.75" customHeight="1" s="54"/>
    <row r="628" ht="15.75" customHeight="1" s="54"/>
    <row r="629" ht="15.75" customHeight="1" s="54"/>
    <row r="630" ht="15.75" customHeight="1" s="54"/>
    <row r="631" ht="15.75" customHeight="1" s="54"/>
    <row r="632" ht="15.75" customHeight="1" s="54"/>
    <row r="633" ht="15.75" customHeight="1" s="54"/>
    <row r="634" ht="15.75" customHeight="1" s="54"/>
    <row r="635" ht="15.75" customHeight="1" s="54"/>
    <row r="636" ht="15.75" customHeight="1" s="54"/>
    <row r="637" ht="15.75" customHeight="1" s="54"/>
    <row r="638" ht="15.75" customHeight="1" s="54"/>
    <row r="639" ht="15.75" customHeight="1" s="54"/>
    <row r="640" ht="15.75" customHeight="1" s="54"/>
    <row r="641" ht="15.75" customHeight="1" s="54"/>
    <row r="642" ht="15.75" customHeight="1" s="54"/>
    <row r="643" ht="15.75" customHeight="1" s="54"/>
    <row r="644" ht="15.75" customHeight="1" s="54"/>
    <row r="645" ht="15.75" customHeight="1" s="54"/>
    <row r="646" ht="15.75" customHeight="1" s="54"/>
    <row r="647" ht="15.75" customHeight="1" s="54"/>
    <row r="648" ht="15.75" customHeight="1" s="54"/>
    <row r="649" ht="15.75" customHeight="1" s="54"/>
    <row r="650" ht="15.75" customHeight="1" s="54"/>
    <row r="651" ht="15.75" customHeight="1" s="54"/>
    <row r="652" ht="15.75" customHeight="1" s="54"/>
    <row r="653" ht="15.75" customHeight="1" s="54"/>
    <row r="654" ht="15.75" customHeight="1" s="54"/>
    <row r="655" ht="15.75" customHeight="1" s="54"/>
    <row r="656" ht="15.75" customHeight="1" s="54"/>
    <row r="657" ht="15.75" customHeight="1" s="54"/>
    <row r="658" ht="15.75" customHeight="1" s="54"/>
    <row r="659" ht="15.75" customHeight="1" s="54"/>
    <row r="660" ht="15.75" customHeight="1" s="54"/>
    <row r="661" ht="15.75" customHeight="1" s="54"/>
    <row r="662" ht="15.75" customHeight="1" s="54"/>
    <row r="663" ht="15.75" customHeight="1" s="54"/>
    <row r="664" ht="15.75" customHeight="1" s="54"/>
    <row r="665" ht="15.75" customHeight="1" s="54"/>
    <row r="666" ht="15.75" customHeight="1" s="54"/>
    <row r="667" ht="15.75" customHeight="1" s="54"/>
    <row r="668" ht="15.75" customHeight="1" s="54"/>
    <row r="669" ht="15.75" customHeight="1" s="54"/>
    <row r="670" ht="15.75" customHeight="1" s="54"/>
    <row r="671" ht="15.75" customHeight="1" s="54"/>
    <row r="672" ht="15.75" customHeight="1" s="54"/>
    <row r="673" ht="15.75" customHeight="1" s="54"/>
    <row r="674" ht="15.75" customHeight="1" s="54"/>
    <row r="675" ht="15.75" customHeight="1" s="54"/>
    <row r="676" ht="15.75" customHeight="1" s="54"/>
    <row r="677" ht="15.75" customHeight="1" s="54"/>
    <row r="678" ht="15.75" customHeight="1" s="54"/>
    <row r="679" ht="15.75" customHeight="1" s="54"/>
    <row r="680" ht="15.75" customHeight="1" s="54"/>
    <row r="681" ht="15.75" customHeight="1" s="54"/>
    <row r="682" ht="15.75" customHeight="1" s="54"/>
    <row r="683" ht="15.75" customHeight="1" s="54"/>
    <row r="684" ht="15.75" customHeight="1" s="54"/>
    <row r="685" ht="15.75" customHeight="1" s="54"/>
    <row r="686" ht="15.75" customHeight="1" s="54"/>
    <row r="687" ht="15.75" customHeight="1" s="54"/>
    <row r="688" ht="15.75" customHeight="1" s="54"/>
    <row r="689" ht="15.75" customHeight="1" s="54"/>
    <row r="690" ht="15.75" customHeight="1" s="54"/>
    <row r="691" ht="15.75" customHeight="1" s="54"/>
    <row r="692" ht="15.75" customHeight="1" s="54"/>
    <row r="693" ht="15.75" customHeight="1" s="54"/>
    <row r="694" ht="15.75" customHeight="1" s="54"/>
    <row r="695" ht="15.75" customHeight="1" s="54"/>
    <row r="696" ht="15.75" customHeight="1" s="54"/>
    <row r="697" ht="15.75" customHeight="1" s="54"/>
    <row r="698" ht="15.75" customHeight="1" s="54"/>
    <row r="699" ht="15.75" customHeight="1" s="54"/>
    <row r="700" ht="15.75" customHeight="1" s="54"/>
    <row r="701" ht="15.75" customHeight="1" s="54"/>
    <row r="702" ht="15.75" customHeight="1" s="54"/>
    <row r="703" ht="15.75" customHeight="1" s="54"/>
    <row r="704" ht="15.75" customHeight="1" s="54"/>
    <row r="705" ht="15.75" customHeight="1" s="54"/>
    <row r="706" ht="15.75" customHeight="1" s="54"/>
    <row r="707" ht="15.75" customHeight="1" s="54"/>
    <row r="708" ht="15.75" customHeight="1" s="54"/>
    <row r="709" ht="15.75" customHeight="1" s="54"/>
    <row r="710" ht="15.75" customHeight="1" s="54"/>
    <row r="711" ht="15.75" customHeight="1" s="54"/>
    <row r="712" ht="15.75" customHeight="1" s="54"/>
    <row r="713" ht="15.75" customHeight="1" s="54"/>
    <row r="714" ht="15.75" customHeight="1" s="54"/>
    <row r="715" ht="15.75" customHeight="1" s="54"/>
    <row r="716" ht="15.75" customHeight="1" s="54"/>
    <row r="717" ht="15.75" customHeight="1" s="54"/>
    <row r="718" ht="15.75" customHeight="1" s="54"/>
    <row r="719" ht="15.75" customHeight="1" s="54"/>
    <row r="720" ht="15.75" customHeight="1" s="54"/>
    <row r="721" ht="15.75" customHeight="1" s="54"/>
    <row r="722" ht="15.75" customHeight="1" s="54"/>
    <row r="723" ht="15.75" customHeight="1" s="54"/>
    <row r="724" ht="15.75" customHeight="1" s="54"/>
    <row r="725" ht="15.75" customHeight="1" s="54"/>
    <row r="726" ht="15.75" customHeight="1" s="54"/>
    <row r="727" ht="15.75" customHeight="1" s="54"/>
    <row r="728" ht="15.75" customHeight="1" s="54"/>
    <row r="729" ht="15.75" customHeight="1" s="54"/>
    <row r="730" ht="15.75" customHeight="1" s="54"/>
    <row r="731" ht="15.75" customHeight="1" s="54"/>
    <row r="732" ht="15.75" customHeight="1" s="54"/>
    <row r="733" ht="15.75" customHeight="1" s="54"/>
    <row r="734" ht="15.75" customHeight="1" s="54"/>
    <row r="735" ht="15.75" customHeight="1" s="54"/>
    <row r="736" ht="15.75" customHeight="1" s="54"/>
    <row r="737" ht="15.75" customHeight="1" s="54"/>
    <row r="738" ht="15.75" customHeight="1" s="54"/>
    <row r="739" ht="15.75" customHeight="1" s="54"/>
    <row r="740" ht="15.75" customHeight="1" s="54"/>
    <row r="741" ht="15.75" customHeight="1" s="54"/>
    <row r="742" ht="15.75" customHeight="1" s="54"/>
    <row r="743" ht="15.75" customHeight="1" s="54"/>
    <row r="744" ht="15.75" customHeight="1" s="54"/>
    <row r="745" ht="15.75" customHeight="1" s="54"/>
    <row r="746" ht="15.75" customHeight="1" s="54"/>
    <row r="747" ht="15.75" customHeight="1" s="54"/>
    <row r="748" ht="15.75" customHeight="1" s="54"/>
    <row r="749" ht="15.75" customHeight="1" s="54"/>
    <row r="750" ht="15.75" customHeight="1" s="54"/>
    <row r="751" ht="15.75" customHeight="1" s="54"/>
    <row r="752" ht="15.75" customHeight="1" s="54"/>
    <row r="753" ht="15.75" customHeight="1" s="54"/>
    <row r="754" ht="15.75" customHeight="1" s="54"/>
    <row r="755" ht="15.75" customHeight="1" s="54"/>
    <row r="756" ht="15.75" customHeight="1" s="54"/>
    <row r="757" ht="15.75" customHeight="1" s="54"/>
    <row r="758" ht="15.75" customHeight="1" s="54"/>
    <row r="759" ht="15.75" customHeight="1" s="54"/>
    <row r="760" ht="15.75" customHeight="1" s="54"/>
    <row r="761" ht="15.75" customHeight="1" s="54"/>
    <row r="762" ht="15.75" customHeight="1" s="54"/>
    <row r="763" ht="15.75" customHeight="1" s="54"/>
    <row r="764" ht="15.75" customHeight="1" s="54"/>
    <row r="765" ht="15.75" customHeight="1" s="54"/>
    <row r="766" ht="15.75" customHeight="1" s="54"/>
    <row r="767" ht="15.75" customHeight="1" s="54"/>
    <row r="768" ht="15.75" customHeight="1" s="54"/>
    <row r="769" ht="15.75" customHeight="1" s="54"/>
    <row r="770" ht="15.75" customHeight="1" s="54"/>
    <row r="771" ht="15.75" customHeight="1" s="54"/>
    <row r="772" ht="15.75" customHeight="1" s="54"/>
    <row r="773" ht="15.75" customHeight="1" s="54"/>
    <row r="774" ht="15.75" customHeight="1" s="54"/>
    <row r="775" ht="15.75" customHeight="1" s="54"/>
    <row r="776" ht="15.75" customHeight="1" s="54"/>
    <row r="777" ht="15.75" customHeight="1" s="54"/>
    <row r="778" ht="15.75" customHeight="1" s="54"/>
    <row r="779" ht="15.75" customHeight="1" s="54"/>
    <row r="780" ht="15.75" customHeight="1" s="54"/>
    <row r="781" ht="15.75" customHeight="1" s="54"/>
    <row r="782" ht="15.75" customHeight="1" s="54"/>
    <row r="783" ht="15.75" customHeight="1" s="54"/>
    <row r="784" ht="15.75" customHeight="1" s="54"/>
    <row r="785" ht="15.75" customHeight="1" s="54"/>
    <row r="786" ht="15.75" customHeight="1" s="54"/>
    <row r="787" ht="15.75" customHeight="1" s="54"/>
    <row r="788" ht="15.75" customHeight="1" s="54"/>
    <row r="789" ht="15.75" customHeight="1" s="54"/>
    <row r="790" ht="15.75" customHeight="1" s="54"/>
    <row r="791" ht="15.75" customHeight="1" s="54"/>
    <row r="792" ht="15.75" customHeight="1" s="54"/>
    <row r="793" ht="15.75" customHeight="1" s="54"/>
    <row r="794" ht="15.75" customHeight="1" s="54"/>
    <row r="795" ht="15.75" customHeight="1" s="54"/>
    <row r="796" ht="15.75" customHeight="1" s="54"/>
    <row r="797" ht="15.75" customHeight="1" s="54"/>
    <row r="798" ht="15.75" customHeight="1" s="54"/>
    <row r="799" ht="15.75" customHeight="1" s="54"/>
    <row r="800" ht="15.75" customHeight="1" s="54"/>
    <row r="801" ht="15.75" customHeight="1" s="54"/>
    <row r="802" ht="15.75" customHeight="1" s="54"/>
    <row r="803" ht="15.75" customHeight="1" s="54"/>
    <row r="804" ht="15.75" customHeight="1" s="54"/>
    <row r="805" ht="15.75" customHeight="1" s="54"/>
    <row r="806" ht="15.75" customHeight="1" s="54"/>
    <row r="807" ht="15.75" customHeight="1" s="54"/>
    <row r="808" ht="15.75" customHeight="1" s="54"/>
    <row r="809" ht="15.75" customHeight="1" s="54"/>
    <row r="810" ht="15.75" customHeight="1" s="54"/>
    <row r="811" ht="15.75" customHeight="1" s="54"/>
    <row r="812" ht="15.75" customHeight="1" s="54"/>
    <row r="813" ht="15.75" customHeight="1" s="54"/>
    <row r="814" ht="15.75" customHeight="1" s="54"/>
    <row r="815" ht="15.75" customHeight="1" s="54"/>
    <row r="816" ht="15.75" customHeight="1" s="54"/>
    <row r="817" ht="15.75" customHeight="1" s="54"/>
    <row r="818" ht="15.75" customHeight="1" s="54"/>
    <row r="819" ht="15.75" customHeight="1" s="54"/>
    <row r="820" ht="15.75" customHeight="1" s="54"/>
    <row r="821" ht="15.75" customHeight="1" s="54"/>
    <row r="822" ht="15.75" customHeight="1" s="54"/>
    <row r="823" ht="15.75" customHeight="1" s="54"/>
    <row r="824" ht="15.75" customHeight="1" s="54"/>
    <row r="825" ht="15.75" customHeight="1" s="54"/>
    <row r="826" ht="15.75" customHeight="1" s="54"/>
    <row r="827" ht="15.75" customHeight="1" s="54"/>
    <row r="828" ht="15.75" customHeight="1" s="54"/>
    <row r="829" ht="15.75" customHeight="1" s="54"/>
    <row r="830" ht="15.75" customHeight="1" s="54"/>
    <row r="831" ht="15.75" customHeight="1" s="54"/>
    <row r="832" ht="15.75" customHeight="1" s="54"/>
    <row r="833" ht="15.75" customHeight="1" s="54"/>
    <row r="834" ht="15.75" customHeight="1" s="54"/>
    <row r="835" ht="15.75" customHeight="1" s="54"/>
    <row r="836" ht="15.75" customHeight="1" s="54"/>
    <row r="837" ht="15.75" customHeight="1" s="54"/>
    <row r="838" ht="15.75" customHeight="1" s="54"/>
    <row r="839" ht="15.75" customHeight="1" s="54"/>
    <row r="840" ht="15.75" customHeight="1" s="54"/>
    <row r="841" ht="15.75" customHeight="1" s="54"/>
    <row r="842" ht="15.75" customHeight="1" s="54"/>
    <row r="843" ht="15.75" customHeight="1" s="54"/>
    <row r="844" ht="15.75" customHeight="1" s="54"/>
    <row r="845" ht="15.75" customHeight="1" s="54"/>
    <row r="846" ht="15.75" customHeight="1" s="54"/>
    <row r="847" ht="15.75" customHeight="1" s="54"/>
    <row r="848" ht="15.75" customHeight="1" s="54"/>
    <row r="849" ht="15.75" customHeight="1" s="54"/>
    <row r="850" ht="15.75" customHeight="1" s="54"/>
    <row r="851" ht="15.75" customHeight="1" s="54"/>
    <row r="852" ht="15.75" customHeight="1" s="54"/>
    <row r="853" ht="15.75" customHeight="1" s="54"/>
    <row r="854" ht="15.75" customHeight="1" s="54"/>
    <row r="855" ht="15.75" customHeight="1" s="54"/>
    <row r="856" ht="15.75" customHeight="1" s="54"/>
    <row r="857" ht="15.75" customHeight="1" s="54"/>
    <row r="858" ht="15.75" customHeight="1" s="54"/>
    <row r="859" ht="15.75" customHeight="1" s="54"/>
    <row r="860" ht="15.75" customHeight="1" s="54"/>
    <row r="861" ht="15.75" customHeight="1" s="54"/>
    <row r="862" ht="15.75" customHeight="1" s="54"/>
    <row r="863" ht="15.75" customHeight="1" s="54"/>
    <row r="864" ht="15.75" customHeight="1" s="54"/>
    <row r="865" ht="15.75" customHeight="1" s="54"/>
    <row r="866" ht="15.75" customHeight="1" s="54"/>
    <row r="867" ht="15.75" customHeight="1" s="54"/>
    <row r="868" ht="15.75" customHeight="1" s="54"/>
    <row r="869" ht="15.75" customHeight="1" s="54"/>
    <row r="870" ht="15.75" customHeight="1" s="54"/>
    <row r="871" ht="15.75" customHeight="1" s="54"/>
    <row r="872" ht="15.75" customHeight="1" s="54"/>
    <row r="873" ht="15.75" customHeight="1" s="54"/>
    <row r="874" ht="15.75" customHeight="1" s="54"/>
    <row r="875" ht="15.75" customHeight="1" s="54"/>
    <row r="876" ht="15.75" customHeight="1" s="54"/>
    <row r="877" ht="15.75" customHeight="1" s="54"/>
    <row r="878" ht="15.75" customHeight="1" s="54"/>
    <row r="879" ht="15.75" customHeight="1" s="54"/>
    <row r="880" ht="15.75" customHeight="1" s="54"/>
    <row r="881" ht="15.75" customHeight="1" s="54"/>
    <row r="882" ht="15.75" customHeight="1" s="54"/>
    <row r="883" ht="15.75" customHeight="1" s="54"/>
    <row r="884" ht="15.75" customHeight="1" s="54"/>
    <row r="885" ht="15.75" customHeight="1" s="54"/>
    <row r="886" ht="15.75" customHeight="1" s="54"/>
    <row r="887" ht="15.75" customHeight="1" s="54"/>
    <row r="888" ht="15.75" customHeight="1" s="54"/>
    <row r="889" ht="15.75" customHeight="1" s="54"/>
    <row r="890" ht="15.75" customHeight="1" s="54"/>
    <row r="891" ht="15.75" customHeight="1" s="54"/>
    <row r="892" ht="15.75" customHeight="1" s="54"/>
    <row r="893" ht="15.75" customHeight="1" s="54"/>
    <row r="894" ht="15.75" customHeight="1" s="54"/>
    <row r="895" ht="15.75" customHeight="1" s="54"/>
    <row r="896" ht="15.75" customHeight="1" s="54"/>
    <row r="897" ht="15.75" customHeight="1" s="54"/>
    <row r="898" ht="15.75" customHeight="1" s="54"/>
    <row r="899" ht="15.75" customHeight="1" s="54"/>
    <row r="900" ht="15.75" customHeight="1" s="54"/>
    <row r="901" ht="15.75" customHeight="1" s="54"/>
    <row r="902" ht="15.75" customHeight="1" s="54"/>
    <row r="903" ht="15.75" customHeight="1" s="54"/>
    <row r="904" ht="15.75" customHeight="1" s="54"/>
    <row r="905" ht="15.75" customHeight="1" s="54"/>
    <row r="906" ht="15.75" customHeight="1" s="54"/>
    <row r="907" ht="15.75" customHeight="1" s="54"/>
    <row r="908" ht="15.75" customHeight="1" s="54"/>
    <row r="909" ht="15.75" customHeight="1" s="54"/>
    <row r="910" ht="15.75" customHeight="1" s="54"/>
    <row r="911" ht="15.75" customHeight="1" s="54"/>
    <row r="912" ht="15.75" customHeight="1" s="54"/>
    <row r="913" ht="15.75" customHeight="1" s="54"/>
    <row r="914" ht="15.75" customHeight="1" s="54"/>
    <row r="915" ht="15.75" customHeight="1" s="54"/>
    <row r="916" ht="15.75" customHeight="1" s="54"/>
    <row r="917" ht="15.75" customHeight="1" s="54"/>
    <row r="918" ht="15.75" customHeight="1" s="54"/>
    <row r="919" ht="15.75" customHeight="1" s="54"/>
    <row r="920" ht="15.75" customHeight="1" s="54"/>
    <row r="921" ht="15.75" customHeight="1" s="54"/>
    <row r="922" ht="15.75" customHeight="1" s="54"/>
    <row r="923" ht="15.75" customHeight="1" s="54"/>
    <row r="924" ht="15.75" customHeight="1" s="54"/>
    <row r="925" ht="15.75" customHeight="1" s="54"/>
    <row r="926" ht="15.75" customHeight="1" s="54"/>
    <row r="927" ht="15.75" customHeight="1" s="54"/>
    <row r="928" ht="15.75" customHeight="1" s="54"/>
    <row r="929" ht="15.75" customHeight="1" s="54"/>
    <row r="930" ht="15.75" customHeight="1" s="54"/>
    <row r="931" ht="15.75" customHeight="1" s="54"/>
    <row r="932" ht="15.75" customHeight="1" s="54"/>
    <row r="933" ht="15.75" customHeight="1" s="54"/>
    <row r="934" ht="15.75" customHeight="1" s="54"/>
    <row r="935" ht="15.75" customHeight="1" s="54"/>
    <row r="936" ht="15.75" customHeight="1" s="54"/>
    <row r="937" ht="15.75" customHeight="1" s="54"/>
    <row r="938" ht="15.75" customHeight="1" s="54"/>
    <row r="939" ht="15.75" customHeight="1" s="54"/>
    <row r="940" ht="15.75" customHeight="1" s="54"/>
    <row r="941" ht="15.75" customHeight="1" s="54"/>
    <row r="942" ht="15.75" customHeight="1" s="54"/>
    <row r="943" ht="15.75" customHeight="1" s="54"/>
    <row r="944" ht="15.75" customHeight="1" s="54"/>
    <row r="945" ht="15.75" customHeight="1" s="54"/>
    <row r="946" ht="15.75" customHeight="1" s="54"/>
    <row r="947" ht="15.75" customHeight="1" s="54"/>
    <row r="948" ht="15.75" customHeight="1" s="54"/>
    <row r="949" ht="15.75" customHeight="1" s="54"/>
    <row r="950" ht="15.75" customHeight="1" s="54"/>
    <row r="951" ht="15.75" customHeight="1" s="54"/>
    <row r="952" ht="15.75" customHeight="1" s="54"/>
    <row r="953" ht="15.75" customHeight="1" s="54"/>
    <row r="954" ht="15.75" customHeight="1" s="54"/>
    <row r="955" ht="15.75" customHeight="1" s="54"/>
    <row r="956" ht="15.75" customHeight="1" s="54"/>
    <row r="957" ht="15.75" customHeight="1" s="54"/>
    <row r="958" ht="15.75" customHeight="1" s="54"/>
    <row r="959" ht="15.75" customHeight="1" s="54"/>
    <row r="960" ht="15.75" customHeight="1" s="54"/>
    <row r="961" ht="15.75" customHeight="1" s="54"/>
    <row r="962" ht="15.75" customHeight="1" s="54"/>
    <row r="963" ht="15.75" customHeight="1" s="54"/>
    <row r="964" ht="15.75" customHeight="1" s="54"/>
    <row r="965" ht="15.75" customHeight="1" s="54"/>
    <row r="966" ht="15.75" customHeight="1" s="54"/>
    <row r="967" ht="15.75" customHeight="1" s="54"/>
    <row r="968" ht="15.75" customHeight="1" s="54"/>
    <row r="969" ht="15.75" customHeight="1" s="54"/>
    <row r="970" ht="15.75" customHeight="1" s="54"/>
    <row r="971" ht="15.75" customHeight="1" s="54"/>
    <row r="972" ht="15.75" customHeight="1" s="54"/>
    <row r="973" ht="15.75" customHeight="1" s="54"/>
    <row r="974" ht="15.75" customHeight="1" s="54"/>
    <row r="975" ht="15.75" customHeight="1" s="54"/>
    <row r="976" ht="15.75" customHeight="1" s="54"/>
    <row r="977" ht="15.75" customHeight="1" s="54"/>
    <row r="978" ht="15.75" customHeight="1" s="54"/>
    <row r="979" ht="15.75" customHeight="1" s="54"/>
    <row r="980" ht="15.75" customHeight="1" s="54"/>
    <row r="981" ht="15.75" customHeight="1" s="54"/>
    <row r="982" ht="15.75" customHeight="1" s="54"/>
    <row r="983" ht="15.75" customHeight="1" s="54"/>
    <row r="984" ht="15.75" customHeight="1" s="54"/>
    <row r="985" ht="15.75" customHeight="1" s="54"/>
    <row r="986" ht="15.75" customHeight="1" s="54"/>
    <row r="987" ht="15.75" customHeight="1" s="54"/>
    <row r="988" ht="15.75" customHeight="1" s="54"/>
    <row r="989" ht="15.75" customHeight="1" s="54"/>
    <row r="990" ht="15.75" customHeight="1" s="54"/>
    <row r="991" ht="15.75" customHeight="1" s="54"/>
    <row r="992" ht="15.75" customHeight="1" s="54"/>
    <row r="993" ht="15.75" customHeight="1" s="54"/>
    <row r="994" ht="15.75" customHeight="1" s="54"/>
    <row r="995" ht="15.75" customHeight="1" s="54"/>
    <row r="996" ht="15.75" customHeight="1" s="54"/>
    <row r="997" ht="15.75" customHeight="1" s="54"/>
    <row r="998" ht="15.75" customHeight="1" s="54"/>
    <row r="999" ht="15.75" customHeight="1" s="54"/>
    <row r="1000" ht="15.75" customHeight="1" s="54"/>
  </sheetData>
  <mergeCells count="4">
    <mergeCell ref="C2:C3"/>
    <mergeCell ref="A1:O1"/>
    <mergeCell ref="A2:A3"/>
    <mergeCell ref="B2:B3"/>
  </mergeCells>
  <pageMargins left="0.75" right="0.75" top="1" bottom="1" header="0" footer="0"/>
  <pageSetup orientation="landscape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16"/>
  <sheetViews>
    <sheetView showGridLines="0" workbookViewId="0">
      <selection activeCell="A1" sqref="A1"/>
    </sheetView>
  </sheetViews>
  <sheetFormatPr baseColWidth="8" defaultColWidth="14.453125" defaultRowHeight="15" customHeight="1"/>
  <cols>
    <col width="8" customWidth="1" style="54" min="1" max="1"/>
    <col width="10" customWidth="1" style="54" min="2" max="2"/>
    <col width="28" customWidth="1" style="54" min="3" max="3"/>
    <col width="16" customWidth="1" style="54" min="4" max="4"/>
    <col width="14" customWidth="1" style="54" min="5" max="5"/>
    <col width="18" customWidth="1" style="54" min="6" max="6"/>
    <col width="20" customWidth="1" style="54" min="7" max="7"/>
    <col width="8.7265625" customWidth="1" style="54" min="8" max="26"/>
  </cols>
  <sheetData>
    <row r="1" ht="31.5" customHeight="1" s="54">
      <c r="A1" s="81" t="inlineStr">
        <is>
          <t>SUS Evaluation — Summary of Results | IPDC-OSS Platform</t>
        </is>
      </c>
    </row>
    <row r="2" ht="19.5" customHeight="1" s="54">
      <c r="A2" s="22" t="inlineStr">
        <is>
          <t>#</t>
        </is>
      </c>
      <c r="B2" s="22" t="inlineStr">
        <is>
          <t>ID</t>
        </is>
      </c>
      <c r="C2" s="22" t="inlineStr">
        <is>
          <t>Role</t>
        </is>
      </c>
      <c r="D2" s="22" t="inlineStr">
        <is>
          <t>Device</t>
        </is>
      </c>
      <c r="E2" s="22" t="inlineStr">
        <is>
          <t>SUS Score</t>
        </is>
      </c>
      <c r="F2" s="22" t="inlineStr">
        <is>
          <t>Grade</t>
        </is>
      </c>
      <c r="G2" s="22" t="inlineStr">
        <is>
          <t>Interpretation</t>
        </is>
      </c>
    </row>
    <row r="3" ht="19.5" customHeight="1" s="54">
      <c r="A3" s="23" t="n">
        <v>1</v>
      </c>
      <c r="B3" s="29" t="inlineStr">
        <is>
          <t>P1</t>
        </is>
      </c>
      <c r="C3" s="23" t="inlineStr">
        <is>
          <t>IPDC Management Staff</t>
        </is>
      </c>
      <c r="D3" s="23" t="inlineStr">
        <is>
          <t>Laptop (Chrome)</t>
        </is>
      </c>
      <c r="E3" s="43">
        <f>'SUS Score Calculation'!O4</f>
        <v/>
      </c>
      <c r="F3" s="30">
        <f>IF(E3="","",IF(E3&gt;85.5,"A",IF(E3&gt;=72.6,"B",IF(E3&gt;=52,"C",IF(E3&gt;=51.7,"D","F")))))</f>
        <v/>
      </c>
      <c r="G3" s="23">
        <f>IF(E3="","",IF(E3&gt;85.5,"Excellent",IF(E3&gt;=72.6,"Good",IF(E3&gt;=52,"OK",IF(E3&gt;=51.7,"Poor","Awful")))))</f>
        <v/>
      </c>
    </row>
    <row r="4" ht="19.5" customHeight="1" s="54">
      <c r="A4" s="24" t="n">
        <v>2</v>
      </c>
      <c r="B4" s="31" t="inlineStr">
        <is>
          <t>P2</t>
        </is>
      </c>
      <c r="C4" s="24" t="inlineStr">
        <is>
          <t>IPDC Management Staff</t>
        </is>
      </c>
      <c r="D4" s="24" t="inlineStr">
        <is>
          <t>Desktop (Chrome)</t>
        </is>
      </c>
      <c r="E4" s="43">
        <f>'SUS Score Calculation'!O5</f>
        <v/>
      </c>
      <c r="F4" s="40">
        <f>IF(E4="","",IF(E4&gt;85.5,"A",IF(E4&gt;=72.6,"B",IF(E4&gt;=52,"C",IF(E4&gt;=51.7,"D","F")))))</f>
        <v/>
      </c>
      <c r="G4" s="24">
        <f>IF(E4="","",IF(E4&gt;85.5,"Excellent",IF(E4&gt;=72.6,"Good",IF(E4&gt;=52,"OK",IF(E4&gt;=51.7,"Poor","Awful")))))</f>
        <v/>
      </c>
    </row>
    <row r="5" ht="19.5" customHeight="1" s="54">
      <c r="A5" s="23" t="n">
        <v>3</v>
      </c>
      <c r="B5" s="29" t="inlineStr">
        <is>
          <t>P3</t>
        </is>
      </c>
      <c r="C5" s="23" t="inlineStr">
        <is>
          <t>IPDC Management Staff</t>
        </is>
      </c>
      <c r="D5" s="23" t="inlineStr">
        <is>
          <t>Laptop (Opera)</t>
        </is>
      </c>
      <c r="E5" s="43">
        <f>'SUS Score Calculation'!O6</f>
        <v/>
      </c>
      <c r="F5" s="30">
        <f>IF(E5="","",IF(E5&gt;85.5,"A",IF(E5&gt;=72.6,"B",IF(E5&gt;=52,"C",IF(E5&gt;=51.7,"D","F")))))</f>
        <v/>
      </c>
      <c r="G5" s="23">
        <f>IF(E5="","",IF(E5&gt;85.5,"Excellent",IF(E5&gt;=72.6,"Good",IF(E5&gt;=52,"OK",IF(E5&gt;=51.7,"Poor","Awful")))))</f>
        <v/>
      </c>
    </row>
    <row r="6" ht="19.5" customHeight="1" s="54">
      <c r="A6" s="24" t="n">
        <v>4</v>
      </c>
      <c r="B6" s="31" t="inlineStr">
        <is>
          <t>P4</t>
        </is>
      </c>
      <c r="C6" s="24" t="inlineStr">
        <is>
          <t>Tenant Representative</t>
        </is>
      </c>
      <c r="D6" s="24" t="inlineStr">
        <is>
          <t>Smartphone (Chrome)</t>
        </is>
      </c>
      <c r="E6" s="43">
        <f>'SUS Score Calculation'!O7</f>
        <v/>
      </c>
      <c r="F6" s="40">
        <f>IF(E6="","",IF(E6&gt;85.5,"A",IF(E6&gt;=72.6,"B",IF(E6&gt;=52,"C",IF(E6&gt;=51.7,"D","F")))))</f>
        <v/>
      </c>
      <c r="G6" s="24">
        <f>IF(E6="","",IF(E6&gt;85.5,"Excellent",IF(E6&gt;=72.6,"Good",IF(E6&gt;=52,"OK",IF(E6&gt;=51.7,"Poor","Awful")))))</f>
        <v/>
      </c>
    </row>
    <row r="7" ht="19.5" customHeight="1" s="54">
      <c r="A7" s="23" t="n">
        <v>5</v>
      </c>
      <c r="B7" s="29" t="inlineStr">
        <is>
          <t>P5</t>
        </is>
      </c>
      <c r="C7" s="23" t="inlineStr">
        <is>
          <t>Tenant Representative</t>
        </is>
      </c>
      <c r="D7" s="23" t="inlineStr">
        <is>
          <t>Smartphone (Opera)</t>
        </is>
      </c>
      <c r="E7" s="43">
        <f>'SUS Score Calculation'!O8</f>
        <v/>
      </c>
      <c r="F7" s="30">
        <f>IF(E7="","",IF(E7&gt;85.5,"A",IF(E7&gt;=72.6,"B",IF(E7&gt;=52,"C",IF(E7&gt;=51.7,"D","F")))))</f>
        <v/>
      </c>
      <c r="G7" s="23">
        <f>IF(E7="","",IF(E7&gt;85.5,"Excellent",IF(E7&gt;=72.6,"Good",IF(E7&gt;=52,"OK",IF(E7&gt;=51.7,"Poor","Awful")))))</f>
        <v/>
      </c>
    </row>
    <row r="8" ht="19.5" customHeight="1" s="54">
      <c r="A8" s="24" t="n">
        <v>6</v>
      </c>
      <c r="B8" s="31" t="inlineStr">
        <is>
          <t>P6</t>
        </is>
      </c>
      <c r="C8" s="24" t="inlineStr">
        <is>
          <t>Tenant Representative</t>
        </is>
      </c>
      <c r="D8" s="24" t="inlineStr">
        <is>
          <t>Laptop (Chrome)</t>
        </is>
      </c>
      <c r="E8" s="43">
        <f>'SUS Score Calculation'!O9</f>
        <v/>
      </c>
      <c r="F8" s="40">
        <f>IF(E8="","",IF(E8&gt;85.5,"A",IF(E8&gt;=72.6,"B",IF(E8&gt;=52,"C",IF(E8&gt;=51.7,"D","F")))))</f>
        <v/>
      </c>
      <c r="G8" s="24">
        <f>IF(E8="","",IF(E8&gt;85.5,"Excellent",IF(E8&gt;=72.6,"Good",IF(E8&gt;=52,"OK",IF(E8&gt;=51.7,"Poor","Awful")))))</f>
        <v/>
      </c>
    </row>
    <row r="9" ht="19.5" customHeight="1" s="54">
      <c r="A9" s="23" t="n">
        <v>7</v>
      </c>
      <c r="B9" s="29" t="inlineStr">
        <is>
          <t>P7</t>
        </is>
      </c>
      <c r="C9" s="23" t="inlineStr">
        <is>
          <t>Operations Staff</t>
        </is>
      </c>
      <c r="D9" s="23" t="inlineStr">
        <is>
          <t>Smartphone (Chrome)</t>
        </is>
      </c>
      <c r="E9" s="43">
        <f>'SUS Score Calculation'!O10</f>
        <v/>
      </c>
      <c r="F9" s="30">
        <f>IF(E9="","",IF(E9&gt;85.5,"A",IF(E9&gt;=72.6,"B",IF(E9&gt;=52,"C",IF(E9&gt;=51.7,"D","F")))))</f>
        <v/>
      </c>
      <c r="G9" s="23">
        <f>IF(E9="","",IF(E9&gt;85.5,"Excellent",IF(E9&gt;=72.6,"Good",IF(E9&gt;=52,"OK",IF(E9&gt;=51.7,"Poor","Awful")))))</f>
        <v/>
      </c>
    </row>
    <row r="10" ht="19.5" customHeight="1" s="54">
      <c r="A10" s="24" t="n">
        <v>8</v>
      </c>
      <c r="B10" s="31" t="inlineStr">
        <is>
          <t>P8</t>
        </is>
      </c>
      <c r="C10" s="24" t="inlineStr">
        <is>
          <t>Operations Staff</t>
        </is>
      </c>
      <c r="D10" s="24" t="inlineStr">
        <is>
          <t>Smartphone (Opera)</t>
        </is>
      </c>
      <c r="E10" s="43">
        <f>'SUS Score Calculation'!O11</f>
        <v/>
      </c>
      <c r="F10" s="40">
        <f>IF(E10="","",IF(E10&gt;85.5,"A",IF(E10&gt;=72.6,"B",IF(E10&gt;=52,"C",IF(E10&gt;=51.7,"D","F")))))</f>
        <v/>
      </c>
      <c r="G10" s="24">
        <f>IF(E10="","",IF(E10&gt;85.5,"Excellent",IF(E10&gt;=72.6,"Good",IF(E10&gt;=52,"OK",IF(E10&gt;=51.7,"Poor","Awful")))))</f>
        <v/>
      </c>
    </row>
    <row r="11" ht="19.5" customHeight="1" s="54">
      <c r="A11" s="23" t="n">
        <v>9</v>
      </c>
      <c r="B11" s="29" t="inlineStr">
        <is>
          <t>P9</t>
        </is>
      </c>
      <c r="C11" s="23" t="inlineStr">
        <is>
          <t>Operations Staff</t>
        </is>
      </c>
      <c r="D11" s="23" t="inlineStr">
        <is>
          <t>Smartphone (Chrome)</t>
        </is>
      </c>
      <c r="E11" s="43">
        <f>'SUS Score Calculation'!O12</f>
        <v/>
      </c>
      <c r="F11" s="30">
        <f>IF(E11="","",IF(E11&gt;85.5,"A",IF(E11&gt;=72.6,"B",IF(E11&gt;=52,"C",IF(E11&gt;=51.7,"D","F")))))</f>
        <v/>
      </c>
      <c r="G11" s="23">
        <f>IF(E11="","",IF(E11&gt;85.5,"Excellent",IF(E11&gt;=72.6,"Good",IF(E11&gt;=52,"OK",IF(E11&gt;=51.7,"Poor","Awful")))))</f>
        <v/>
      </c>
    </row>
    <row r="12">
      <c r="A12" s="23" t="n">
        <v>10</v>
      </c>
      <c r="B12" s="29" t="inlineStr">
        <is>
          <t>P10</t>
        </is>
      </c>
      <c r="C12" s="23" t="inlineStr">
        <is>
          <t>Operations Staff</t>
        </is>
      </c>
      <c r="D12" s="23" t="inlineStr">
        <is>
          <t>Laptop (Chrome)</t>
        </is>
      </c>
      <c r="E12" s="43">
        <f>'SUS Score Calculation'!O13</f>
        <v/>
      </c>
      <c r="F12" s="30">
        <f>IF(E12="","",IF(E12&gt;85.5,"A",IF(E12&gt;=72.6,"B",IF(E12&gt;=52,"C",IF(E12&gt;=51.7,"D","F")))))</f>
        <v/>
      </c>
      <c r="G12" s="23">
        <f>IF(E12="","",IF(E12&gt;85.5,"Excellent",IF(E12&gt;=72.6,"Good",IF(E12&gt;=52,"OK",IF(E12&gt;=51.7,"Poor","Awful")))))</f>
        <v/>
      </c>
    </row>
    <row r="13" ht="25.5" customHeight="1" s="54">
      <c r="A13" s="23" t="n">
        <v>11</v>
      </c>
      <c r="B13" s="29" t="inlineStr">
        <is>
          <t>P11</t>
        </is>
      </c>
      <c r="C13" s="23" t="inlineStr">
        <is>
          <t>Operations Staff</t>
        </is>
      </c>
      <c r="D13" s="23" t="inlineStr">
        <is>
          <t>Laptop (Chrome)</t>
        </is>
      </c>
      <c r="E13" s="43">
        <f>'SUS Score Calculation'!O14</f>
        <v/>
      </c>
      <c r="F13" s="30">
        <f>IF(E13="","",IF(E13&gt;85.5,"A",IF(E13&gt;=72.6,"B",IF(E13&gt;=52,"C",IF(E13&gt;=51.7,"D","F")))))</f>
        <v/>
      </c>
      <c r="G13" s="23">
        <f>IF(E13="","",IF(E13&gt;85.5,"Excellent",IF(E13&gt;=72.6,"Good",IF(E13&gt;=52,"OK",IF(E13&gt;=51.7,"Poor","Awful")))))</f>
        <v/>
      </c>
    </row>
    <row r="14">
      <c r="A14" s="23" t="n">
        <v>12</v>
      </c>
      <c r="B14" s="29" t="inlineStr">
        <is>
          <t>P12</t>
        </is>
      </c>
      <c r="C14" s="23" t="inlineStr">
        <is>
          <t>Tenant Representative</t>
        </is>
      </c>
      <c r="D14" s="23" t="inlineStr">
        <is>
          <t>Smartphone (Chrome)</t>
        </is>
      </c>
      <c r="E14" s="43">
        <f>'SUS Score Calculation'!O15</f>
        <v/>
      </c>
      <c r="F14" s="30">
        <f>IF(E14="","",IF(E14&gt;85.5,"A",IF(E14&gt;=72.6,"B",IF(E14&gt;=52,"C",IF(E14&gt;=51.7,"D","F")))))</f>
        <v/>
      </c>
      <c r="G14" s="23">
        <f>IF(E14="","",IF(E14&gt;85.5,"Excellent",IF(E14&gt;=72.6,"Good",IF(E14&gt;=52,"OK",IF(E14&gt;=51.7,"Poor","Awful")))))</f>
        <v/>
      </c>
    </row>
    <row r="15">
      <c r="A15" s="23" t="inlineStr">
        <is>
          <t>MEAN SUS SCORE</t>
        </is>
      </c>
      <c r="B15" s="29" t="n"/>
      <c r="C15" s="23" t="n"/>
      <c r="D15" s="23" t="n"/>
      <c r="E15" s="43">
        <f>AVERAGE(E3:E14)</f>
        <v/>
      </c>
      <c r="F15" s="30">
        <f>IF(E15="","",IF(E15&gt;85.5,"A",IF(E15&gt;=72.6,"B",IF(E15&gt;=52,"C",IF(E15&gt;=51.7,"D","F")))))</f>
        <v/>
      </c>
      <c r="G15" s="23">
        <f>IF(E15="","",IF(E15&gt;85.5,"Excellent",IF(E15&gt;=72.6,"Good",IF(E15&gt;=52,"OK",IF(E15&gt;=51.7,"Poor","Awful")))))</f>
        <v/>
      </c>
    </row>
    <row r="16" ht="15.75" customHeight="1" s="54">
      <c r="A16" s="86" t="inlineStr">
        <is>
          <t>Reference lines: 72.5 = Good threshold | 85.5 = Excellent threshold</t>
        </is>
      </c>
    </row>
    <row r="21" ht="15.75" customHeight="1" s="54"/>
    <row r="22" ht="15.75" customHeight="1" s="54"/>
    <row r="23" ht="15.75" customHeight="1" s="54"/>
    <row r="24" ht="15.75" customHeight="1" s="54"/>
    <row r="25" ht="15.75" customHeight="1" s="54"/>
    <row r="26" ht="15.75" customHeight="1" s="54"/>
    <row r="27" ht="15.75" customHeight="1" s="54"/>
    <row r="28" ht="15.75" customHeight="1" s="54"/>
    <row r="29" ht="15.75" customHeight="1" s="54"/>
    <row r="30" ht="15.75" customHeight="1" s="54"/>
    <row r="31" ht="15.75" customHeight="1" s="54"/>
    <row r="32" ht="15.75" customHeight="1" s="54"/>
    <row r="33" ht="15.75" customHeight="1" s="54"/>
    <row r="34" ht="15.75" customHeight="1" s="54"/>
    <row r="35" ht="15.75" customHeight="1" s="54"/>
    <row r="36" ht="15.75" customHeight="1" s="54"/>
    <row r="37" ht="15.75" customHeight="1" s="54"/>
    <row r="38" ht="15.75" customHeight="1" s="54"/>
    <row r="39" ht="15.75" customHeight="1" s="54"/>
    <row r="40" ht="15.75" customHeight="1" s="54"/>
    <row r="41" ht="15.75" customHeight="1" s="54"/>
    <row r="42" ht="15.75" customHeight="1" s="54"/>
    <row r="43" ht="15.75" customHeight="1" s="54"/>
    <row r="44" ht="15.75" customHeight="1" s="54"/>
    <row r="45" ht="15.75" customHeight="1" s="54"/>
    <row r="46" ht="15.75" customHeight="1" s="54"/>
    <row r="47" ht="15.75" customHeight="1" s="54"/>
    <row r="48" ht="15.75" customHeight="1" s="54"/>
    <row r="49" ht="15.75" customHeight="1" s="54"/>
    <row r="50" ht="15.75" customHeight="1" s="54"/>
    <row r="51" ht="15.75" customHeight="1" s="54"/>
    <row r="52" ht="15.75" customHeight="1" s="54"/>
    <row r="53" ht="15.75" customHeight="1" s="54"/>
    <row r="54" ht="15.75" customHeight="1" s="54"/>
    <row r="55" ht="15.75" customHeight="1" s="54"/>
    <row r="56" ht="15.75" customHeight="1" s="54"/>
    <row r="57" ht="15.75" customHeight="1" s="54"/>
    <row r="58" ht="15.75" customHeight="1" s="54"/>
    <row r="59" ht="15.75" customHeight="1" s="54"/>
    <row r="60" ht="15.75" customHeight="1" s="54"/>
    <row r="61" ht="15.75" customHeight="1" s="54"/>
    <row r="62" ht="15.75" customHeight="1" s="54"/>
    <row r="63" ht="15.75" customHeight="1" s="54"/>
    <row r="64" ht="15.75" customHeight="1" s="54"/>
    <row r="65" ht="15.75" customHeight="1" s="54"/>
    <row r="66" ht="15.75" customHeight="1" s="54"/>
    <row r="67" ht="15.75" customHeight="1" s="54"/>
    <row r="68" ht="15.75" customHeight="1" s="54"/>
    <row r="69" ht="15.75" customHeight="1" s="54"/>
    <row r="70" ht="15.75" customHeight="1" s="54"/>
    <row r="71" ht="15.75" customHeight="1" s="54"/>
    <row r="72" ht="15.75" customHeight="1" s="54"/>
    <row r="73" ht="15.75" customHeight="1" s="54"/>
    <row r="74" ht="15.75" customHeight="1" s="54"/>
    <row r="75" ht="15.75" customHeight="1" s="54"/>
    <row r="76" ht="15.75" customHeight="1" s="54"/>
    <row r="77" ht="15.75" customHeight="1" s="54"/>
    <row r="78" ht="15.75" customHeight="1" s="54"/>
    <row r="79" ht="15.75" customHeight="1" s="54"/>
    <row r="80" ht="15.75" customHeight="1" s="54"/>
    <row r="81" ht="15.75" customHeight="1" s="54"/>
    <row r="82" ht="15.75" customHeight="1" s="54"/>
    <row r="83" ht="15.75" customHeight="1" s="54"/>
    <row r="84" ht="15.75" customHeight="1" s="54"/>
    <row r="85" ht="15.75" customHeight="1" s="54"/>
    <row r="86" ht="15.75" customHeight="1" s="54"/>
    <row r="87" ht="15.75" customHeight="1" s="54"/>
    <row r="88" ht="15.75" customHeight="1" s="54"/>
    <row r="89" ht="15.75" customHeight="1" s="54"/>
    <row r="90" ht="15.75" customHeight="1" s="54"/>
    <row r="91" ht="15.75" customHeight="1" s="54"/>
    <row r="92" ht="15.75" customHeight="1" s="54"/>
    <row r="93" ht="15.75" customHeight="1" s="54"/>
    <row r="94" ht="15.75" customHeight="1" s="54"/>
    <row r="95" ht="15.75" customHeight="1" s="54"/>
    <row r="96" ht="15.75" customHeight="1" s="54"/>
    <row r="97" ht="15.75" customHeight="1" s="54"/>
    <row r="98" ht="15.75" customHeight="1" s="54"/>
    <row r="99" ht="15.75" customHeight="1" s="54"/>
    <row r="100" ht="15.75" customHeight="1" s="54"/>
    <row r="101" ht="15.75" customHeight="1" s="54"/>
    <row r="102" ht="15.75" customHeight="1" s="54"/>
    <row r="103" ht="15.75" customHeight="1" s="54"/>
    <row r="104" ht="15.75" customHeight="1" s="54"/>
    <row r="105" ht="15.75" customHeight="1" s="54"/>
    <row r="106" ht="15.75" customHeight="1" s="54"/>
    <row r="107" ht="15.75" customHeight="1" s="54"/>
    <row r="108" ht="15.75" customHeight="1" s="54"/>
    <row r="109" ht="15.75" customHeight="1" s="54"/>
    <row r="110" ht="15.75" customHeight="1" s="54"/>
    <row r="111" ht="15.75" customHeight="1" s="54"/>
    <row r="112" ht="15.75" customHeight="1" s="54"/>
    <row r="113" ht="15.75" customHeight="1" s="54"/>
    <row r="114" ht="15.75" customHeight="1" s="54"/>
    <row r="115" ht="15.75" customHeight="1" s="54"/>
    <row r="116" ht="15.75" customHeight="1" s="54"/>
    <row r="117" ht="15.75" customHeight="1" s="54"/>
    <row r="118" ht="15.75" customHeight="1" s="54"/>
    <row r="119" ht="15.75" customHeight="1" s="54"/>
    <row r="120" ht="15.75" customHeight="1" s="54"/>
    <row r="121" ht="15.75" customHeight="1" s="54"/>
    <row r="122" ht="15.75" customHeight="1" s="54"/>
    <row r="123" ht="15.75" customHeight="1" s="54"/>
    <row r="124" ht="15.75" customHeight="1" s="54"/>
    <row r="125" ht="15.75" customHeight="1" s="54"/>
    <row r="126" ht="15.75" customHeight="1" s="54"/>
    <row r="127" ht="15.75" customHeight="1" s="54"/>
    <row r="128" ht="15.75" customHeight="1" s="54"/>
    <row r="129" ht="15.75" customHeight="1" s="54"/>
    <row r="130" ht="15.75" customHeight="1" s="54"/>
    <row r="131" ht="15.75" customHeight="1" s="54"/>
    <row r="132" ht="15.75" customHeight="1" s="54"/>
    <row r="133" ht="15.75" customHeight="1" s="54"/>
    <row r="134" ht="15.75" customHeight="1" s="54"/>
    <row r="135" ht="15.75" customHeight="1" s="54"/>
    <row r="136" ht="15.75" customHeight="1" s="54"/>
    <row r="137" ht="15.75" customHeight="1" s="54"/>
    <row r="138" ht="15.75" customHeight="1" s="54"/>
    <row r="139" ht="15.75" customHeight="1" s="54"/>
    <row r="140" ht="15.75" customHeight="1" s="54"/>
    <row r="141" ht="15.75" customHeight="1" s="54"/>
    <row r="142" ht="15.75" customHeight="1" s="54"/>
    <row r="143" ht="15.75" customHeight="1" s="54"/>
    <row r="144" ht="15.75" customHeight="1" s="54"/>
    <row r="145" ht="15.75" customHeight="1" s="54"/>
    <row r="146" ht="15.75" customHeight="1" s="54"/>
    <row r="147" ht="15.75" customHeight="1" s="54"/>
    <row r="148" ht="15.75" customHeight="1" s="54"/>
    <row r="149" ht="15.75" customHeight="1" s="54"/>
    <row r="150" ht="15.75" customHeight="1" s="54"/>
    <row r="151" ht="15.75" customHeight="1" s="54"/>
    <row r="152" ht="15.75" customHeight="1" s="54"/>
    <row r="153" ht="15.75" customHeight="1" s="54"/>
    <row r="154" ht="15.75" customHeight="1" s="54"/>
    <row r="155" ht="15.75" customHeight="1" s="54"/>
    <row r="156" ht="15.75" customHeight="1" s="54"/>
    <row r="157" ht="15.75" customHeight="1" s="54"/>
    <row r="158" ht="15.75" customHeight="1" s="54"/>
    <row r="159" ht="15.75" customHeight="1" s="54"/>
    <row r="160" ht="15.75" customHeight="1" s="54"/>
    <row r="161" ht="15.75" customHeight="1" s="54"/>
    <row r="162" ht="15.75" customHeight="1" s="54"/>
    <row r="163" ht="15.75" customHeight="1" s="54"/>
    <row r="164" ht="15.75" customHeight="1" s="54"/>
    <row r="165" ht="15.75" customHeight="1" s="54"/>
    <row r="166" ht="15.75" customHeight="1" s="54"/>
    <row r="167" ht="15.75" customHeight="1" s="54"/>
    <row r="168" ht="15.75" customHeight="1" s="54"/>
    <row r="169" ht="15.75" customHeight="1" s="54"/>
    <row r="170" ht="15.75" customHeight="1" s="54"/>
    <row r="171" ht="15.75" customHeight="1" s="54"/>
    <row r="172" ht="15.75" customHeight="1" s="54"/>
    <row r="173" ht="15.75" customHeight="1" s="54"/>
    <row r="174" ht="15.75" customHeight="1" s="54"/>
    <row r="175" ht="15.75" customHeight="1" s="54"/>
    <row r="176" ht="15.75" customHeight="1" s="54"/>
    <row r="177" ht="15.75" customHeight="1" s="54"/>
    <row r="178" ht="15.75" customHeight="1" s="54"/>
    <row r="179" ht="15.75" customHeight="1" s="54"/>
    <row r="180" ht="15.75" customHeight="1" s="54"/>
    <row r="181" ht="15.75" customHeight="1" s="54"/>
    <row r="182" ht="15.75" customHeight="1" s="54"/>
    <row r="183" ht="15.75" customHeight="1" s="54"/>
    <row r="184" ht="15.75" customHeight="1" s="54"/>
    <row r="185" ht="15.75" customHeight="1" s="54"/>
    <row r="186" ht="15.75" customHeight="1" s="54"/>
    <row r="187" ht="15.75" customHeight="1" s="54"/>
    <row r="188" ht="15.75" customHeight="1" s="54"/>
    <row r="189" ht="15.75" customHeight="1" s="54"/>
    <row r="190" ht="15.75" customHeight="1" s="54"/>
    <row r="191" ht="15.75" customHeight="1" s="54"/>
    <row r="192" ht="15.75" customHeight="1" s="54"/>
    <row r="193" ht="15.75" customHeight="1" s="54"/>
    <row r="194" ht="15.75" customHeight="1" s="54"/>
    <row r="195" ht="15.75" customHeight="1" s="54"/>
    <row r="196" ht="15.75" customHeight="1" s="54"/>
    <row r="197" ht="15.75" customHeight="1" s="54"/>
    <row r="198" ht="15.75" customHeight="1" s="54"/>
    <row r="199" ht="15.75" customHeight="1" s="54"/>
    <row r="200" ht="15.75" customHeight="1" s="54"/>
    <row r="201" ht="15.75" customHeight="1" s="54"/>
    <row r="202" ht="15.75" customHeight="1" s="54"/>
    <row r="203" ht="15.75" customHeight="1" s="54"/>
    <row r="204" ht="15.75" customHeight="1" s="54"/>
    <row r="205" ht="15.75" customHeight="1" s="54"/>
    <row r="206" ht="15.75" customHeight="1" s="54"/>
    <row r="207" ht="15.75" customHeight="1" s="54"/>
    <row r="208" ht="15.75" customHeight="1" s="54"/>
    <row r="209" ht="15.75" customHeight="1" s="54"/>
    <row r="210" ht="15.75" customHeight="1" s="54"/>
    <row r="211" ht="15.75" customHeight="1" s="54"/>
    <row r="212" ht="15.75" customHeight="1" s="54"/>
    <row r="213" ht="15.75" customHeight="1" s="54"/>
    <row r="214" ht="15.75" customHeight="1" s="54"/>
    <row r="215" ht="15.75" customHeight="1" s="54"/>
    <row r="216" ht="15.75" customHeight="1" s="54"/>
    <row r="217" ht="15.75" customHeight="1" s="54"/>
    <row r="218" ht="15.75" customHeight="1" s="54"/>
    <row r="219" ht="15.75" customHeight="1" s="54"/>
    <row r="220" ht="15.75" customHeight="1" s="54"/>
    <row r="221" ht="15.75" customHeight="1" s="54"/>
    <row r="222" ht="15.75" customHeight="1" s="54"/>
    <row r="223" ht="15.75" customHeight="1" s="54"/>
    <row r="224" ht="15.75" customHeight="1" s="54"/>
    <row r="225" ht="15.75" customHeight="1" s="54"/>
    <row r="226" ht="15.75" customHeight="1" s="54"/>
    <row r="227" ht="15.75" customHeight="1" s="54"/>
    <row r="228" ht="15.75" customHeight="1" s="54"/>
    <row r="229" ht="15.75" customHeight="1" s="54"/>
    <row r="230" ht="15.75" customHeight="1" s="54"/>
    <row r="231" ht="15.75" customHeight="1" s="54"/>
    <row r="232" ht="15.75" customHeight="1" s="54"/>
    <row r="233" ht="15.75" customHeight="1" s="54"/>
    <row r="234" ht="15.75" customHeight="1" s="54"/>
    <row r="235" ht="15.75" customHeight="1" s="54"/>
    <row r="236" ht="15.75" customHeight="1" s="54"/>
    <row r="237" ht="15.75" customHeight="1" s="54"/>
    <row r="238" ht="15.75" customHeight="1" s="54"/>
    <row r="239" ht="15.75" customHeight="1" s="54"/>
    <row r="240" ht="15.75" customHeight="1" s="54"/>
    <row r="241" ht="15.75" customHeight="1" s="54"/>
    <row r="242" ht="15.75" customHeight="1" s="54"/>
    <row r="243" ht="15.75" customHeight="1" s="54"/>
    <row r="244" ht="15.75" customHeight="1" s="54"/>
    <row r="245" ht="15.75" customHeight="1" s="54"/>
    <row r="246" ht="15.75" customHeight="1" s="54"/>
    <row r="247" ht="15.75" customHeight="1" s="54"/>
    <row r="248" ht="15.75" customHeight="1" s="54"/>
    <row r="249" ht="15.75" customHeight="1" s="54"/>
    <row r="250" ht="15.75" customHeight="1" s="54"/>
    <row r="251" ht="15.75" customHeight="1" s="54"/>
    <row r="252" ht="15.75" customHeight="1" s="54"/>
    <row r="253" ht="15.75" customHeight="1" s="54"/>
    <row r="254" ht="15.75" customHeight="1" s="54"/>
    <row r="255" ht="15.75" customHeight="1" s="54"/>
    <row r="256" ht="15.75" customHeight="1" s="54"/>
    <row r="257" ht="15.75" customHeight="1" s="54"/>
    <row r="258" ht="15.75" customHeight="1" s="54"/>
    <row r="259" ht="15.75" customHeight="1" s="54"/>
    <row r="260" ht="15.75" customHeight="1" s="54"/>
    <row r="261" ht="15.75" customHeight="1" s="54"/>
    <row r="262" ht="15.75" customHeight="1" s="54"/>
    <row r="263" ht="15.75" customHeight="1" s="54"/>
    <row r="264" ht="15.75" customHeight="1" s="54"/>
    <row r="265" ht="15.75" customHeight="1" s="54"/>
    <row r="266" ht="15.75" customHeight="1" s="54"/>
    <row r="267" ht="15.75" customHeight="1" s="54"/>
    <row r="268" ht="15.75" customHeight="1" s="54"/>
    <row r="269" ht="15.75" customHeight="1" s="54"/>
    <row r="270" ht="15.75" customHeight="1" s="54"/>
    <row r="271" ht="15.75" customHeight="1" s="54"/>
    <row r="272" ht="15.75" customHeight="1" s="54"/>
    <row r="273" ht="15.75" customHeight="1" s="54"/>
    <row r="274" ht="15.75" customHeight="1" s="54"/>
    <row r="275" ht="15.75" customHeight="1" s="54"/>
    <row r="276" ht="15.75" customHeight="1" s="54"/>
    <row r="277" ht="15.75" customHeight="1" s="54"/>
    <row r="278" ht="15.75" customHeight="1" s="54"/>
    <row r="279" ht="15.75" customHeight="1" s="54"/>
    <row r="280" ht="15.75" customHeight="1" s="54"/>
    <row r="281" ht="15.75" customHeight="1" s="54"/>
    <row r="282" ht="15.75" customHeight="1" s="54"/>
    <row r="283" ht="15.75" customHeight="1" s="54"/>
    <row r="284" ht="15.75" customHeight="1" s="54"/>
    <row r="285" ht="15.75" customHeight="1" s="54"/>
    <row r="286" ht="15.75" customHeight="1" s="54"/>
    <row r="287" ht="15.75" customHeight="1" s="54"/>
    <row r="288" ht="15.75" customHeight="1" s="54"/>
    <row r="289" ht="15.75" customHeight="1" s="54"/>
    <row r="290" ht="15.75" customHeight="1" s="54"/>
    <row r="291" ht="15.75" customHeight="1" s="54"/>
    <row r="292" ht="15.75" customHeight="1" s="54"/>
    <row r="293" ht="15.75" customHeight="1" s="54"/>
    <row r="294" ht="15.75" customHeight="1" s="54"/>
    <row r="295" ht="15.75" customHeight="1" s="54"/>
    <row r="296" ht="15.75" customHeight="1" s="54"/>
    <row r="297" ht="15.75" customHeight="1" s="54"/>
    <row r="298" ht="15.75" customHeight="1" s="54"/>
    <row r="299" ht="15.75" customHeight="1" s="54"/>
    <row r="300" ht="15.75" customHeight="1" s="54"/>
    <row r="301" ht="15.75" customHeight="1" s="54"/>
    <row r="302" ht="15.75" customHeight="1" s="54"/>
    <row r="303" ht="15.75" customHeight="1" s="54"/>
    <row r="304" ht="15.75" customHeight="1" s="54"/>
    <row r="305" ht="15.75" customHeight="1" s="54"/>
    <row r="306" ht="15.75" customHeight="1" s="54"/>
    <row r="307" ht="15.75" customHeight="1" s="54"/>
    <row r="308" ht="15.75" customHeight="1" s="54"/>
    <row r="309" ht="15.75" customHeight="1" s="54"/>
    <row r="310" ht="15.75" customHeight="1" s="54"/>
    <row r="311" ht="15.75" customHeight="1" s="54"/>
    <row r="312" ht="15.75" customHeight="1" s="54"/>
    <row r="313" ht="15.75" customHeight="1" s="54"/>
    <row r="314" ht="15.75" customHeight="1" s="54"/>
    <row r="315" ht="15.75" customHeight="1" s="54"/>
    <row r="316" ht="15.75" customHeight="1" s="54"/>
    <row r="317" ht="15.75" customHeight="1" s="54"/>
    <row r="318" ht="15.75" customHeight="1" s="54"/>
    <row r="319" ht="15.75" customHeight="1" s="54"/>
    <row r="320" ht="15.75" customHeight="1" s="54"/>
    <row r="321" ht="15.75" customHeight="1" s="54"/>
    <row r="322" ht="15.75" customHeight="1" s="54"/>
    <row r="323" ht="15.75" customHeight="1" s="54"/>
    <row r="324" ht="15.75" customHeight="1" s="54"/>
    <row r="325" ht="15.75" customHeight="1" s="54"/>
    <row r="326" ht="15.75" customHeight="1" s="54"/>
    <row r="327" ht="15.75" customHeight="1" s="54"/>
    <row r="328" ht="15.75" customHeight="1" s="54"/>
    <row r="329" ht="15.75" customHeight="1" s="54"/>
    <row r="330" ht="15.75" customHeight="1" s="54"/>
    <row r="331" ht="15.75" customHeight="1" s="54"/>
    <row r="332" ht="15.75" customHeight="1" s="54"/>
    <row r="333" ht="15.75" customHeight="1" s="54"/>
    <row r="334" ht="15.75" customHeight="1" s="54"/>
    <row r="335" ht="15.75" customHeight="1" s="54"/>
    <row r="336" ht="15.75" customHeight="1" s="54"/>
    <row r="337" ht="15.75" customHeight="1" s="54"/>
    <row r="338" ht="15.75" customHeight="1" s="54"/>
    <row r="339" ht="15.75" customHeight="1" s="54"/>
    <row r="340" ht="15.75" customHeight="1" s="54"/>
    <row r="341" ht="15.75" customHeight="1" s="54"/>
    <row r="342" ht="15.75" customHeight="1" s="54"/>
    <row r="343" ht="15.75" customHeight="1" s="54"/>
    <row r="344" ht="15.75" customHeight="1" s="54"/>
    <row r="345" ht="15.75" customHeight="1" s="54"/>
    <row r="346" ht="15.75" customHeight="1" s="54"/>
    <row r="347" ht="15.75" customHeight="1" s="54"/>
    <row r="348" ht="15.75" customHeight="1" s="54"/>
    <row r="349" ht="15.75" customHeight="1" s="54"/>
    <row r="350" ht="15.75" customHeight="1" s="54"/>
    <row r="351" ht="15.75" customHeight="1" s="54"/>
    <row r="352" ht="15.75" customHeight="1" s="54"/>
    <row r="353" ht="15.75" customHeight="1" s="54"/>
    <row r="354" ht="15.75" customHeight="1" s="54"/>
    <row r="355" ht="15.75" customHeight="1" s="54"/>
    <row r="356" ht="15.75" customHeight="1" s="54"/>
    <row r="357" ht="15.75" customHeight="1" s="54"/>
    <row r="358" ht="15.75" customHeight="1" s="54"/>
    <row r="359" ht="15.75" customHeight="1" s="54"/>
    <row r="360" ht="15.75" customHeight="1" s="54"/>
    <row r="361" ht="15.75" customHeight="1" s="54"/>
    <row r="362" ht="15.75" customHeight="1" s="54"/>
    <row r="363" ht="15.75" customHeight="1" s="54"/>
    <row r="364" ht="15.75" customHeight="1" s="54"/>
    <row r="365" ht="15.75" customHeight="1" s="54"/>
    <row r="366" ht="15.75" customHeight="1" s="54"/>
    <row r="367" ht="15.75" customHeight="1" s="54"/>
    <row r="368" ht="15.75" customHeight="1" s="54"/>
    <row r="369" ht="15.75" customHeight="1" s="54"/>
    <row r="370" ht="15.75" customHeight="1" s="54"/>
    <row r="371" ht="15.75" customHeight="1" s="54"/>
    <row r="372" ht="15.75" customHeight="1" s="54"/>
    <row r="373" ht="15.75" customHeight="1" s="54"/>
    <row r="374" ht="15.75" customHeight="1" s="54"/>
    <row r="375" ht="15.75" customHeight="1" s="54"/>
    <row r="376" ht="15.75" customHeight="1" s="54"/>
    <row r="377" ht="15.75" customHeight="1" s="54"/>
    <row r="378" ht="15.75" customHeight="1" s="54"/>
    <row r="379" ht="15.75" customHeight="1" s="54"/>
    <row r="380" ht="15.75" customHeight="1" s="54"/>
    <row r="381" ht="15.75" customHeight="1" s="54"/>
    <row r="382" ht="15.75" customHeight="1" s="54"/>
    <row r="383" ht="15.75" customHeight="1" s="54"/>
    <row r="384" ht="15.75" customHeight="1" s="54"/>
    <row r="385" ht="15.75" customHeight="1" s="54"/>
    <row r="386" ht="15.75" customHeight="1" s="54"/>
    <row r="387" ht="15.75" customHeight="1" s="54"/>
    <row r="388" ht="15.75" customHeight="1" s="54"/>
    <row r="389" ht="15.75" customHeight="1" s="54"/>
    <row r="390" ht="15.75" customHeight="1" s="54"/>
    <row r="391" ht="15.75" customHeight="1" s="54"/>
    <row r="392" ht="15.75" customHeight="1" s="54"/>
    <row r="393" ht="15.75" customHeight="1" s="54"/>
    <row r="394" ht="15.75" customHeight="1" s="54"/>
    <row r="395" ht="15.75" customHeight="1" s="54"/>
    <row r="396" ht="15.75" customHeight="1" s="54"/>
    <row r="397" ht="15.75" customHeight="1" s="54"/>
    <row r="398" ht="15.75" customHeight="1" s="54"/>
    <row r="399" ht="15.75" customHeight="1" s="54"/>
    <row r="400" ht="15.75" customHeight="1" s="54"/>
    <row r="401" ht="15.75" customHeight="1" s="54"/>
    <row r="402" ht="15.75" customHeight="1" s="54"/>
    <row r="403" ht="15.75" customHeight="1" s="54"/>
    <row r="404" ht="15.75" customHeight="1" s="54"/>
    <row r="405" ht="15.75" customHeight="1" s="54"/>
    <row r="406" ht="15.75" customHeight="1" s="54"/>
    <row r="407" ht="15.75" customHeight="1" s="54"/>
    <row r="408" ht="15.75" customHeight="1" s="54"/>
    <row r="409" ht="15.75" customHeight="1" s="54"/>
    <row r="410" ht="15.75" customHeight="1" s="54"/>
    <row r="411" ht="15.75" customHeight="1" s="54"/>
    <row r="412" ht="15.75" customHeight="1" s="54"/>
    <row r="413" ht="15.75" customHeight="1" s="54"/>
    <row r="414" ht="15.75" customHeight="1" s="54"/>
    <row r="415" ht="15.75" customHeight="1" s="54"/>
    <row r="416" ht="15.75" customHeight="1" s="54"/>
    <row r="417" ht="15.75" customHeight="1" s="54"/>
    <row r="418" ht="15.75" customHeight="1" s="54"/>
    <row r="419" ht="15.75" customHeight="1" s="54"/>
    <row r="420" ht="15.75" customHeight="1" s="54"/>
    <row r="421" ht="15.75" customHeight="1" s="54"/>
    <row r="422" ht="15.75" customHeight="1" s="54"/>
    <row r="423" ht="15.75" customHeight="1" s="54"/>
    <row r="424" ht="15.75" customHeight="1" s="54"/>
    <row r="425" ht="15.75" customHeight="1" s="54"/>
    <row r="426" ht="15.75" customHeight="1" s="54"/>
    <row r="427" ht="15.75" customHeight="1" s="54"/>
    <row r="428" ht="15.75" customHeight="1" s="54"/>
    <row r="429" ht="15.75" customHeight="1" s="54"/>
    <row r="430" ht="15.75" customHeight="1" s="54"/>
    <row r="431" ht="15.75" customHeight="1" s="54"/>
    <row r="432" ht="15.75" customHeight="1" s="54"/>
    <row r="433" ht="15.75" customHeight="1" s="54"/>
    <row r="434" ht="15.75" customHeight="1" s="54"/>
    <row r="435" ht="15.75" customHeight="1" s="54"/>
    <row r="436" ht="15.75" customHeight="1" s="54"/>
    <row r="437" ht="15.75" customHeight="1" s="54"/>
    <row r="438" ht="15.75" customHeight="1" s="54"/>
    <row r="439" ht="15.75" customHeight="1" s="54"/>
    <row r="440" ht="15.75" customHeight="1" s="54"/>
    <row r="441" ht="15.75" customHeight="1" s="54"/>
    <row r="442" ht="15.75" customHeight="1" s="54"/>
    <row r="443" ht="15.75" customHeight="1" s="54"/>
    <row r="444" ht="15.75" customHeight="1" s="54"/>
    <row r="445" ht="15.75" customHeight="1" s="54"/>
    <row r="446" ht="15.75" customHeight="1" s="54"/>
    <row r="447" ht="15.75" customHeight="1" s="54"/>
    <row r="448" ht="15.75" customHeight="1" s="54"/>
    <row r="449" ht="15.75" customHeight="1" s="54"/>
    <row r="450" ht="15.75" customHeight="1" s="54"/>
    <row r="451" ht="15.75" customHeight="1" s="54"/>
    <row r="452" ht="15.75" customHeight="1" s="54"/>
    <row r="453" ht="15.75" customHeight="1" s="54"/>
    <row r="454" ht="15.75" customHeight="1" s="54"/>
    <row r="455" ht="15.75" customHeight="1" s="54"/>
    <row r="456" ht="15.75" customHeight="1" s="54"/>
    <row r="457" ht="15.75" customHeight="1" s="54"/>
    <row r="458" ht="15.75" customHeight="1" s="54"/>
    <row r="459" ht="15.75" customHeight="1" s="54"/>
    <row r="460" ht="15.75" customHeight="1" s="54"/>
    <row r="461" ht="15.75" customHeight="1" s="54"/>
    <row r="462" ht="15.75" customHeight="1" s="54"/>
    <row r="463" ht="15.75" customHeight="1" s="54"/>
    <row r="464" ht="15.75" customHeight="1" s="54"/>
    <row r="465" ht="15.75" customHeight="1" s="54"/>
    <row r="466" ht="15.75" customHeight="1" s="54"/>
    <row r="467" ht="15.75" customHeight="1" s="54"/>
    <row r="468" ht="15.75" customHeight="1" s="54"/>
    <row r="469" ht="15.75" customHeight="1" s="54"/>
    <row r="470" ht="15.75" customHeight="1" s="54"/>
    <row r="471" ht="15.75" customHeight="1" s="54"/>
    <row r="472" ht="15.75" customHeight="1" s="54"/>
    <row r="473" ht="15.75" customHeight="1" s="54"/>
    <row r="474" ht="15.75" customHeight="1" s="54"/>
    <row r="475" ht="15.75" customHeight="1" s="54"/>
    <row r="476" ht="15.75" customHeight="1" s="54"/>
    <row r="477" ht="15.75" customHeight="1" s="54"/>
    <row r="478" ht="15.75" customHeight="1" s="54"/>
    <row r="479" ht="15.75" customHeight="1" s="54"/>
    <row r="480" ht="15.75" customHeight="1" s="54"/>
    <row r="481" ht="15.75" customHeight="1" s="54"/>
    <row r="482" ht="15.75" customHeight="1" s="54"/>
    <row r="483" ht="15.75" customHeight="1" s="54"/>
    <row r="484" ht="15.75" customHeight="1" s="54"/>
    <row r="485" ht="15.75" customHeight="1" s="54"/>
    <row r="486" ht="15.75" customHeight="1" s="54"/>
    <row r="487" ht="15.75" customHeight="1" s="54"/>
    <row r="488" ht="15.75" customHeight="1" s="54"/>
    <row r="489" ht="15.75" customHeight="1" s="54"/>
    <row r="490" ht="15.75" customHeight="1" s="54"/>
    <row r="491" ht="15.75" customHeight="1" s="54"/>
    <row r="492" ht="15.75" customHeight="1" s="54"/>
    <row r="493" ht="15.75" customHeight="1" s="54"/>
    <row r="494" ht="15.75" customHeight="1" s="54"/>
    <row r="495" ht="15.75" customHeight="1" s="54"/>
    <row r="496" ht="15.75" customHeight="1" s="54"/>
    <row r="497" ht="15.75" customHeight="1" s="54"/>
    <row r="498" ht="15.75" customHeight="1" s="54"/>
    <row r="499" ht="15.75" customHeight="1" s="54"/>
    <row r="500" ht="15.75" customHeight="1" s="54"/>
    <row r="501" ht="15.75" customHeight="1" s="54"/>
    <row r="502" ht="15.75" customHeight="1" s="54"/>
    <row r="503" ht="15.75" customHeight="1" s="54"/>
    <row r="504" ht="15.75" customHeight="1" s="54"/>
    <row r="505" ht="15.75" customHeight="1" s="54"/>
    <row r="506" ht="15.75" customHeight="1" s="54"/>
    <row r="507" ht="15.75" customHeight="1" s="54"/>
    <row r="508" ht="15.75" customHeight="1" s="54"/>
    <row r="509" ht="15.75" customHeight="1" s="54"/>
    <row r="510" ht="15.75" customHeight="1" s="54"/>
    <row r="511" ht="15.75" customHeight="1" s="54"/>
    <row r="512" ht="15.75" customHeight="1" s="54"/>
    <row r="513" ht="15.75" customHeight="1" s="54"/>
    <row r="514" ht="15.75" customHeight="1" s="54"/>
    <row r="515" ht="15.75" customHeight="1" s="54"/>
    <row r="516" ht="15.75" customHeight="1" s="54"/>
    <row r="517" ht="15.75" customHeight="1" s="54"/>
    <row r="518" ht="15.75" customHeight="1" s="54"/>
    <row r="519" ht="15.75" customHeight="1" s="54"/>
    <row r="520" ht="15.75" customHeight="1" s="54"/>
    <row r="521" ht="15.75" customHeight="1" s="54"/>
    <row r="522" ht="15.75" customHeight="1" s="54"/>
    <row r="523" ht="15.75" customHeight="1" s="54"/>
    <row r="524" ht="15.75" customHeight="1" s="54"/>
    <row r="525" ht="15.75" customHeight="1" s="54"/>
    <row r="526" ht="15.75" customHeight="1" s="54"/>
    <row r="527" ht="15.75" customHeight="1" s="54"/>
    <row r="528" ht="15.75" customHeight="1" s="54"/>
    <row r="529" ht="15.75" customHeight="1" s="54"/>
    <row r="530" ht="15.75" customHeight="1" s="54"/>
    <row r="531" ht="15.75" customHeight="1" s="54"/>
    <row r="532" ht="15.75" customHeight="1" s="54"/>
    <row r="533" ht="15.75" customHeight="1" s="54"/>
    <row r="534" ht="15.75" customHeight="1" s="54"/>
    <row r="535" ht="15.75" customHeight="1" s="54"/>
    <row r="536" ht="15.75" customHeight="1" s="54"/>
    <row r="537" ht="15.75" customHeight="1" s="54"/>
    <row r="538" ht="15.75" customHeight="1" s="54"/>
    <row r="539" ht="15.75" customHeight="1" s="54"/>
    <row r="540" ht="15.75" customHeight="1" s="54"/>
    <row r="541" ht="15.75" customHeight="1" s="54"/>
    <row r="542" ht="15.75" customHeight="1" s="54"/>
    <row r="543" ht="15.75" customHeight="1" s="54"/>
    <row r="544" ht="15.75" customHeight="1" s="54"/>
    <row r="545" ht="15.75" customHeight="1" s="54"/>
    <row r="546" ht="15.75" customHeight="1" s="54"/>
    <row r="547" ht="15.75" customHeight="1" s="54"/>
    <row r="548" ht="15.75" customHeight="1" s="54"/>
    <row r="549" ht="15.75" customHeight="1" s="54"/>
    <row r="550" ht="15.75" customHeight="1" s="54"/>
    <row r="551" ht="15.75" customHeight="1" s="54"/>
    <row r="552" ht="15.75" customHeight="1" s="54"/>
    <row r="553" ht="15.75" customHeight="1" s="54"/>
    <row r="554" ht="15.75" customHeight="1" s="54"/>
    <row r="555" ht="15.75" customHeight="1" s="54"/>
    <row r="556" ht="15.75" customHeight="1" s="54"/>
    <row r="557" ht="15.75" customHeight="1" s="54"/>
    <row r="558" ht="15.75" customHeight="1" s="54"/>
    <row r="559" ht="15.75" customHeight="1" s="54"/>
    <row r="560" ht="15.75" customHeight="1" s="54"/>
    <row r="561" ht="15.75" customHeight="1" s="54"/>
    <row r="562" ht="15.75" customHeight="1" s="54"/>
    <row r="563" ht="15.75" customHeight="1" s="54"/>
    <row r="564" ht="15.75" customHeight="1" s="54"/>
    <row r="565" ht="15.75" customHeight="1" s="54"/>
    <row r="566" ht="15.75" customHeight="1" s="54"/>
    <row r="567" ht="15.75" customHeight="1" s="54"/>
    <row r="568" ht="15.75" customHeight="1" s="54"/>
    <row r="569" ht="15.75" customHeight="1" s="54"/>
    <row r="570" ht="15.75" customHeight="1" s="54"/>
    <row r="571" ht="15.75" customHeight="1" s="54"/>
    <row r="572" ht="15.75" customHeight="1" s="54"/>
    <row r="573" ht="15.75" customHeight="1" s="54"/>
    <row r="574" ht="15.75" customHeight="1" s="54"/>
    <row r="575" ht="15.75" customHeight="1" s="54"/>
    <row r="576" ht="15.75" customHeight="1" s="54"/>
    <row r="577" ht="15.75" customHeight="1" s="54"/>
    <row r="578" ht="15.75" customHeight="1" s="54"/>
    <row r="579" ht="15.75" customHeight="1" s="54"/>
    <row r="580" ht="15.75" customHeight="1" s="54"/>
    <row r="581" ht="15.75" customHeight="1" s="54"/>
    <row r="582" ht="15.75" customHeight="1" s="54"/>
    <row r="583" ht="15.75" customHeight="1" s="54"/>
    <row r="584" ht="15.75" customHeight="1" s="54"/>
    <row r="585" ht="15.75" customHeight="1" s="54"/>
    <row r="586" ht="15.75" customHeight="1" s="54"/>
    <row r="587" ht="15.75" customHeight="1" s="54"/>
    <row r="588" ht="15.75" customHeight="1" s="54"/>
    <row r="589" ht="15.75" customHeight="1" s="54"/>
    <row r="590" ht="15.75" customHeight="1" s="54"/>
    <row r="591" ht="15.75" customHeight="1" s="54"/>
    <row r="592" ht="15.75" customHeight="1" s="54"/>
    <row r="593" ht="15.75" customHeight="1" s="54"/>
    <row r="594" ht="15.75" customHeight="1" s="54"/>
    <row r="595" ht="15.75" customHeight="1" s="54"/>
    <row r="596" ht="15.75" customHeight="1" s="54"/>
    <row r="597" ht="15.75" customHeight="1" s="54"/>
    <row r="598" ht="15.75" customHeight="1" s="54"/>
    <row r="599" ht="15.75" customHeight="1" s="54"/>
    <row r="600" ht="15.75" customHeight="1" s="54"/>
    <row r="601" ht="15.75" customHeight="1" s="54"/>
    <row r="602" ht="15.75" customHeight="1" s="54"/>
    <row r="603" ht="15.75" customHeight="1" s="54"/>
    <row r="604" ht="15.75" customHeight="1" s="54"/>
    <row r="605" ht="15.75" customHeight="1" s="54"/>
    <row r="606" ht="15.75" customHeight="1" s="54"/>
    <row r="607" ht="15.75" customHeight="1" s="54"/>
    <row r="608" ht="15.75" customHeight="1" s="54"/>
    <row r="609" ht="15.75" customHeight="1" s="54"/>
    <row r="610" ht="15.75" customHeight="1" s="54"/>
    <row r="611" ht="15.75" customHeight="1" s="54"/>
    <row r="612" ht="15.75" customHeight="1" s="54"/>
    <row r="613" ht="15.75" customHeight="1" s="54"/>
    <row r="614" ht="15.75" customHeight="1" s="54"/>
    <row r="615" ht="15.75" customHeight="1" s="54"/>
    <row r="616" ht="15.75" customHeight="1" s="54"/>
    <row r="617" ht="15.75" customHeight="1" s="54"/>
    <row r="618" ht="15.75" customHeight="1" s="54"/>
    <row r="619" ht="15.75" customHeight="1" s="54"/>
    <row r="620" ht="15.75" customHeight="1" s="54"/>
    <row r="621" ht="15.75" customHeight="1" s="54"/>
    <row r="622" ht="15.75" customHeight="1" s="54"/>
    <row r="623" ht="15.75" customHeight="1" s="54"/>
    <row r="624" ht="15.75" customHeight="1" s="54"/>
    <row r="625" ht="15.75" customHeight="1" s="54"/>
    <row r="626" ht="15.75" customHeight="1" s="54"/>
    <row r="627" ht="15.75" customHeight="1" s="54"/>
    <row r="628" ht="15.75" customHeight="1" s="54"/>
    <row r="629" ht="15.75" customHeight="1" s="54"/>
    <row r="630" ht="15.75" customHeight="1" s="54"/>
    <row r="631" ht="15.75" customHeight="1" s="54"/>
    <row r="632" ht="15.75" customHeight="1" s="54"/>
    <row r="633" ht="15.75" customHeight="1" s="54"/>
    <row r="634" ht="15.75" customHeight="1" s="54"/>
    <row r="635" ht="15.75" customHeight="1" s="54"/>
    <row r="636" ht="15.75" customHeight="1" s="54"/>
    <row r="637" ht="15.75" customHeight="1" s="54"/>
    <row r="638" ht="15.75" customHeight="1" s="54"/>
    <row r="639" ht="15.75" customHeight="1" s="54"/>
    <row r="640" ht="15.75" customHeight="1" s="54"/>
    <row r="641" ht="15.75" customHeight="1" s="54"/>
    <row r="642" ht="15.75" customHeight="1" s="54"/>
    <row r="643" ht="15.75" customHeight="1" s="54"/>
    <row r="644" ht="15.75" customHeight="1" s="54"/>
    <row r="645" ht="15.75" customHeight="1" s="54"/>
    <row r="646" ht="15.75" customHeight="1" s="54"/>
    <row r="647" ht="15.75" customHeight="1" s="54"/>
    <row r="648" ht="15.75" customHeight="1" s="54"/>
    <row r="649" ht="15.75" customHeight="1" s="54"/>
    <row r="650" ht="15.75" customHeight="1" s="54"/>
    <row r="651" ht="15.75" customHeight="1" s="54"/>
    <row r="652" ht="15.75" customHeight="1" s="54"/>
    <row r="653" ht="15.75" customHeight="1" s="54"/>
    <row r="654" ht="15.75" customHeight="1" s="54"/>
    <row r="655" ht="15.75" customHeight="1" s="54"/>
    <row r="656" ht="15.75" customHeight="1" s="54"/>
    <row r="657" ht="15.75" customHeight="1" s="54"/>
    <row r="658" ht="15.75" customHeight="1" s="54"/>
    <row r="659" ht="15.75" customHeight="1" s="54"/>
    <row r="660" ht="15.75" customHeight="1" s="54"/>
    <row r="661" ht="15.75" customHeight="1" s="54"/>
    <row r="662" ht="15.75" customHeight="1" s="54"/>
    <row r="663" ht="15.75" customHeight="1" s="54"/>
    <row r="664" ht="15.75" customHeight="1" s="54"/>
    <row r="665" ht="15.75" customHeight="1" s="54"/>
    <row r="666" ht="15.75" customHeight="1" s="54"/>
    <row r="667" ht="15.75" customHeight="1" s="54"/>
    <row r="668" ht="15.75" customHeight="1" s="54"/>
    <row r="669" ht="15.75" customHeight="1" s="54"/>
    <row r="670" ht="15.75" customHeight="1" s="54"/>
    <row r="671" ht="15.75" customHeight="1" s="54"/>
    <row r="672" ht="15.75" customHeight="1" s="54"/>
    <row r="673" ht="15.75" customHeight="1" s="54"/>
    <row r="674" ht="15.75" customHeight="1" s="54"/>
    <row r="675" ht="15.75" customHeight="1" s="54"/>
    <row r="676" ht="15.75" customHeight="1" s="54"/>
    <row r="677" ht="15.75" customHeight="1" s="54"/>
    <row r="678" ht="15.75" customHeight="1" s="54"/>
    <row r="679" ht="15.75" customHeight="1" s="54"/>
    <row r="680" ht="15.75" customHeight="1" s="54"/>
    <row r="681" ht="15.75" customHeight="1" s="54"/>
    <row r="682" ht="15.75" customHeight="1" s="54"/>
    <row r="683" ht="15.75" customHeight="1" s="54"/>
    <row r="684" ht="15.75" customHeight="1" s="54"/>
    <row r="685" ht="15.75" customHeight="1" s="54"/>
    <row r="686" ht="15.75" customHeight="1" s="54"/>
    <row r="687" ht="15.75" customHeight="1" s="54"/>
    <row r="688" ht="15.75" customHeight="1" s="54"/>
    <row r="689" ht="15.75" customHeight="1" s="54"/>
    <row r="690" ht="15.75" customHeight="1" s="54"/>
    <row r="691" ht="15.75" customHeight="1" s="54"/>
    <row r="692" ht="15.75" customHeight="1" s="54"/>
    <row r="693" ht="15.75" customHeight="1" s="54"/>
    <row r="694" ht="15.75" customHeight="1" s="54"/>
    <row r="695" ht="15.75" customHeight="1" s="54"/>
    <row r="696" ht="15.75" customHeight="1" s="54"/>
    <row r="697" ht="15.75" customHeight="1" s="54"/>
    <row r="698" ht="15.75" customHeight="1" s="54"/>
    <row r="699" ht="15.75" customHeight="1" s="54"/>
    <row r="700" ht="15.75" customHeight="1" s="54"/>
    <row r="701" ht="15.75" customHeight="1" s="54"/>
    <row r="702" ht="15.75" customHeight="1" s="54"/>
    <row r="703" ht="15.75" customHeight="1" s="54"/>
    <row r="704" ht="15.75" customHeight="1" s="54"/>
    <row r="705" ht="15.75" customHeight="1" s="54"/>
    <row r="706" ht="15.75" customHeight="1" s="54"/>
    <row r="707" ht="15.75" customHeight="1" s="54"/>
    <row r="708" ht="15.75" customHeight="1" s="54"/>
    <row r="709" ht="15.75" customHeight="1" s="54"/>
    <row r="710" ht="15.75" customHeight="1" s="54"/>
    <row r="711" ht="15.75" customHeight="1" s="54"/>
    <row r="712" ht="15.75" customHeight="1" s="54"/>
    <row r="713" ht="15.75" customHeight="1" s="54"/>
    <row r="714" ht="15.75" customHeight="1" s="54"/>
    <row r="715" ht="15.75" customHeight="1" s="54"/>
    <row r="716" ht="15.75" customHeight="1" s="54"/>
    <row r="717" ht="15.75" customHeight="1" s="54"/>
    <row r="718" ht="15.75" customHeight="1" s="54"/>
    <row r="719" ht="15.75" customHeight="1" s="54"/>
    <row r="720" ht="15.75" customHeight="1" s="54"/>
    <row r="721" ht="15.75" customHeight="1" s="54"/>
    <row r="722" ht="15.75" customHeight="1" s="54"/>
    <row r="723" ht="15.75" customHeight="1" s="54"/>
    <row r="724" ht="15.75" customHeight="1" s="54"/>
    <row r="725" ht="15.75" customHeight="1" s="54"/>
    <row r="726" ht="15.75" customHeight="1" s="54"/>
    <row r="727" ht="15.75" customHeight="1" s="54"/>
    <row r="728" ht="15.75" customHeight="1" s="54"/>
    <row r="729" ht="15.75" customHeight="1" s="54"/>
    <row r="730" ht="15.75" customHeight="1" s="54"/>
    <row r="731" ht="15.75" customHeight="1" s="54"/>
    <row r="732" ht="15.75" customHeight="1" s="54"/>
    <row r="733" ht="15.75" customHeight="1" s="54"/>
    <row r="734" ht="15.75" customHeight="1" s="54"/>
    <row r="735" ht="15.75" customHeight="1" s="54"/>
    <row r="736" ht="15.75" customHeight="1" s="54"/>
    <row r="737" ht="15.75" customHeight="1" s="54"/>
    <row r="738" ht="15.75" customHeight="1" s="54"/>
    <row r="739" ht="15.75" customHeight="1" s="54"/>
    <row r="740" ht="15.75" customHeight="1" s="54"/>
    <row r="741" ht="15.75" customHeight="1" s="54"/>
    <row r="742" ht="15.75" customHeight="1" s="54"/>
    <row r="743" ht="15.75" customHeight="1" s="54"/>
    <row r="744" ht="15.75" customHeight="1" s="54"/>
    <row r="745" ht="15.75" customHeight="1" s="54"/>
    <row r="746" ht="15.75" customHeight="1" s="54"/>
    <row r="747" ht="15.75" customHeight="1" s="54"/>
    <row r="748" ht="15.75" customHeight="1" s="54"/>
    <row r="749" ht="15.75" customHeight="1" s="54"/>
    <row r="750" ht="15.75" customHeight="1" s="54"/>
    <row r="751" ht="15.75" customHeight="1" s="54"/>
    <row r="752" ht="15.75" customHeight="1" s="54"/>
    <row r="753" ht="15.75" customHeight="1" s="54"/>
    <row r="754" ht="15.75" customHeight="1" s="54"/>
    <row r="755" ht="15.75" customHeight="1" s="54"/>
    <row r="756" ht="15.75" customHeight="1" s="54"/>
    <row r="757" ht="15.75" customHeight="1" s="54"/>
    <row r="758" ht="15.75" customHeight="1" s="54"/>
    <row r="759" ht="15.75" customHeight="1" s="54"/>
    <row r="760" ht="15.75" customHeight="1" s="54"/>
    <row r="761" ht="15.75" customHeight="1" s="54"/>
    <row r="762" ht="15.75" customHeight="1" s="54"/>
    <row r="763" ht="15.75" customHeight="1" s="54"/>
    <row r="764" ht="15.75" customHeight="1" s="54"/>
    <row r="765" ht="15.75" customHeight="1" s="54"/>
    <row r="766" ht="15.75" customHeight="1" s="54"/>
    <row r="767" ht="15.75" customHeight="1" s="54"/>
    <row r="768" ht="15.75" customHeight="1" s="54"/>
    <row r="769" ht="15.75" customHeight="1" s="54"/>
    <row r="770" ht="15.75" customHeight="1" s="54"/>
    <row r="771" ht="15.75" customHeight="1" s="54"/>
    <row r="772" ht="15.75" customHeight="1" s="54"/>
    <row r="773" ht="15.75" customHeight="1" s="54"/>
    <row r="774" ht="15.75" customHeight="1" s="54"/>
    <row r="775" ht="15.75" customHeight="1" s="54"/>
    <row r="776" ht="15.75" customHeight="1" s="54"/>
    <row r="777" ht="15.75" customHeight="1" s="54"/>
    <row r="778" ht="15.75" customHeight="1" s="54"/>
    <row r="779" ht="15.75" customHeight="1" s="54"/>
    <row r="780" ht="15.75" customHeight="1" s="54"/>
    <row r="781" ht="15.75" customHeight="1" s="54"/>
    <row r="782" ht="15.75" customHeight="1" s="54"/>
    <row r="783" ht="15.75" customHeight="1" s="54"/>
    <row r="784" ht="15.75" customHeight="1" s="54"/>
    <row r="785" ht="15.75" customHeight="1" s="54"/>
    <row r="786" ht="15.75" customHeight="1" s="54"/>
    <row r="787" ht="15.75" customHeight="1" s="54"/>
    <row r="788" ht="15.75" customHeight="1" s="54"/>
    <row r="789" ht="15.75" customHeight="1" s="54"/>
    <row r="790" ht="15.75" customHeight="1" s="54"/>
    <row r="791" ht="15.75" customHeight="1" s="54"/>
    <row r="792" ht="15.75" customHeight="1" s="54"/>
    <row r="793" ht="15.75" customHeight="1" s="54"/>
    <row r="794" ht="15.75" customHeight="1" s="54"/>
    <row r="795" ht="15.75" customHeight="1" s="54"/>
    <row r="796" ht="15.75" customHeight="1" s="54"/>
    <row r="797" ht="15.75" customHeight="1" s="54"/>
    <row r="798" ht="15.75" customHeight="1" s="54"/>
    <row r="799" ht="15.75" customHeight="1" s="54"/>
    <row r="800" ht="15.75" customHeight="1" s="54"/>
    <row r="801" ht="15.75" customHeight="1" s="54"/>
    <row r="802" ht="15.75" customHeight="1" s="54"/>
    <row r="803" ht="15.75" customHeight="1" s="54"/>
    <row r="804" ht="15.75" customHeight="1" s="54"/>
    <row r="805" ht="15.75" customHeight="1" s="54"/>
    <row r="806" ht="15.75" customHeight="1" s="54"/>
    <row r="807" ht="15.75" customHeight="1" s="54"/>
    <row r="808" ht="15.75" customHeight="1" s="54"/>
    <row r="809" ht="15.75" customHeight="1" s="54"/>
    <row r="810" ht="15.75" customHeight="1" s="54"/>
    <row r="811" ht="15.75" customHeight="1" s="54"/>
    <row r="812" ht="15.75" customHeight="1" s="54"/>
    <row r="813" ht="15.75" customHeight="1" s="54"/>
    <row r="814" ht="15.75" customHeight="1" s="54"/>
    <row r="815" ht="15.75" customHeight="1" s="54"/>
    <row r="816" ht="15.75" customHeight="1" s="54"/>
    <row r="817" ht="15.75" customHeight="1" s="54"/>
    <row r="818" ht="15.75" customHeight="1" s="54"/>
    <row r="819" ht="15.75" customHeight="1" s="54"/>
    <row r="820" ht="15.75" customHeight="1" s="54"/>
    <row r="821" ht="15.75" customHeight="1" s="54"/>
    <row r="822" ht="15.75" customHeight="1" s="54"/>
    <row r="823" ht="15.75" customHeight="1" s="54"/>
    <row r="824" ht="15.75" customHeight="1" s="54"/>
    <row r="825" ht="15.75" customHeight="1" s="54"/>
    <row r="826" ht="15.75" customHeight="1" s="54"/>
    <row r="827" ht="15.75" customHeight="1" s="54"/>
    <row r="828" ht="15.75" customHeight="1" s="54"/>
    <row r="829" ht="15.75" customHeight="1" s="54"/>
    <row r="830" ht="15.75" customHeight="1" s="54"/>
    <row r="831" ht="15.75" customHeight="1" s="54"/>
    <row r="832" ht="15.75" customHeight="1" s="54"/>
    <row r="833" ht="15.75" customHeight="1" s="54"/>
    <row r="834" ht="15.75" customHeight="1" s="54"/>
    <row r="835" ht="15.75" customHeight="1" s="54"/>
    <row r="836" ht="15.75" customHeight="1" s="54"/>
    <row r="837" ht="15.75" customHeight="1" s="54"/>
    <row r="838" ht="15.75" customHeight="1" s="54"/>
    <row r="839" ht="15.75" customHeight="1" s="54"/>
    <row r="840" ht="15.75" customHeight="1" s="54"/>
    <row r="841" ht="15.75" customHeight="1" s="54"/>
    <row r="842" ht="15.75" customHeight="1" s="54"/>
    <row r="843" ht="15.75" customHeight="1" s="54"/>
    <row r="844" ht="15.75" customHeight="1" s="54"/>
    <row r="845" ht="15.75" customHeight="1" s="54"/>
    <row r="846" ht="15.75" customHeight="1" s="54"/>
    <row r="847" ht="15.75" customHeight="1" s="54"/>
    <row r="848" ht="15.75" customHeight="1" s="54"/>
    <row r="849" ht="15.75" customHeight="1" s="54"/>
    <row r="850" ht="15.75" customHeight="1" s="54"/>
    <row r="851" ht="15.75" customHeight="1" s="54"/>
    <row r="852" ht="15.75" customHeight="1" s="54"/>
    <row r="853" ht="15.75" customHeight="1" s="54"/>
    <row r="854" ht="15.75" customHeight="1" s="54"/>
    <row r="855" ht="15.75" customHeight="1" s="54"/>
    <row r="856" ht="15.75" customHeight="1" s="54"/>
    <row r="857" ht="15.75" customHeight="1" s="54"/>
    <row r="858" ht="15.75" customHeight="1" s="54"/>
    <row r="859" ht="15.75" customHeight="1" s="54"/>
    <row r="860" ht="15.75" customHeight="1" s="54"/>
    <row r="861" ht="15.75" customHeight="1" s="54"/>
    <row r="862" ht="15.75" customHeight="1" s="54"/>
    <row r="863" ht="15.75" customHeight="1" s="54"/>
    <row r="864" ht="15.75" customHeight="1" s="54"/>
    <row r="865" ht="15.75" customHeight="1" s="54"/>
    <row r="866" ht="15.75" customHeight="1" s="54"/>
    <row r="867" ht="15.75" customHeight="1" s="54"/>
    <row r="868" ht="15.75" customHeight="1" s="54"/>
    <row r="869" ht="15.75" customHeight="1" s="54"/>
    <row r="870" ht="15.75" customHeight="1" s="54"/>
    <row r="871" ht="15.75" customHeight="1" s="54"/>
    <row r="872" ht="15.75" customHeight="1" s="54"/>
    <row r="873" ht="15.75" customHeight="1" s="54"/>
    <row r="874" ht="15.75" customHeight="1" s="54"/>
    <row r="875" ht="15.75" customHeight="1" s="54"/>
    <row r="876" ht="15.75" customHeight="1" s="54"/>
    <row r="877" ht="15.75" customHeight="1" s="54"/>
    <row r="878" ht="15.75" customHeight="1" s="54"/>
    <row r="879" ht="15.75" customHeight="1" s="54"/>
    <row r="880" ht="15.75" customHeight="1" s="54"/>
    <row r="881" ht="15.75" customHeight="1" s="54"/>
    <row r="882" ht="15.75" customHeight="1" s="54"/>
    <row r="883" ht="15.75" customHeight="1" s="54"/>
    <row r="884" ht="15.75" customHeight="1" s="54"/>
    <row r="885" ht="15.75" customHeight="1" s="54"/>
    <row r="886" ht="15.75" customHeight="1" s="54"/>
    <row r="887" ht="15.75" customHeight="1" s="54"/>
    <row r="888" ht="15.75" customHeight="1" s="54"/>
    <row r="889" ht="15.75" customHeight="1" s="54"/>
    <row r="890" ht="15.75" customHeight="1" s="54"/>
    <row r="891" ht="15.75" customHeight="1" s="54"/>
    <row r="892" ht="15.75" customHeight="1" s="54"/>
    <row r="893" ht="15.75" customHeight="1" s="54"/>
    <row r="894" ht="15.75" customHeight="1" s="54"/>
    <row r="895" ht="15.75" customHeight="1" s="54"/>
    <row r="896" ht="15.75" customHeight="1" s="54"/>
    <row r="897" ht="15.75" customHeight="1" s="54"/>
    <row r="898" ht="15.75" customHeight="1" s="54"/>
    <row r="899" ht="15.75" customHeight="1" s="54"/>
    <row r="900" ht="15.75" customHeight="1" s="54"/>
    <row r="901" ht="15.75" customHeight="1" s="54"/>
    <row r="902" ht="15.75" customHeight="1" s="54"/>
    <row r="903" ht="15.75" customHeight="1" s="54"/>
    <row r="904" ht="15.75" customHeight="1" s="54"/>
    <row r="905" ht="15.75" customHeight="1" s="54"/>
    <row r="906" ht="15.75" customHeight="1" s="54"/>
    <row r="907" ht="15.75" customHeight="1" s="54"/>
    <row r="908" ht="15.75" customHeight="1" s="54"/>
    <row r="909" ht="15.75" customHeight="1" s="54"/>
    <row r="910" ht="15.75" customHeight="1" s="54"/>
    <row r="911" ht="15.75" customHeight="1" s="54"/>
    <row r="912" ht="15.75" customHeight="1" s="54"/>
    <row r="913" ht="15.75" customHeight="1" s="54"/>
    <row r="914" ht="15.75" customHeight="1" s="54"/>
    <row r="915" ht="15.75" customHeight="1" s="54"/>
    <row r="916" ht="15.75" customHeight="1" s="54"/>
    <row r="917" ht="15.75" customHeight="1" s="54"/>
    <row r="918" ht="15.75" customHeight="1" s="54"/>
    <row r="919" ht="15.75" customHeight="1" s="54"/>
    <row r="920" ht="15.75" customHeight="1" s="54"/>
    <row r="921" ht="15.75" customHeight="1" s="54"/>
    <row r="922" ht="15.75" customHeight="1" s="54"/>
    <row r="923" ht="15.75" customHeight="1" s="54"/>
    <row r="924" ht="15.75" customHeight="1" s="54"/>
    <row r="925" ht="15.75" customHeight="1" s="54"/>
    <row r="926" ht="15.75" customHeight="1" s="54"/>
    <row r="927" ht="15.75" customHeight="1" s="54"/>
    <row r="928" ht="15.75" customHeight="1" s="54"/>
    <row r="929" ht="15.75" customHeight="1" s="54"/>
    <row r="930" ht="15.75" customHeight="1" s="54"/>
    <row r="931" ht="15.75" customHeight="1" s="54"/>
    <row r="932" ht="15.75" customHeight="1" s="54"/>
    <row r="933" ht="15.75" customHeight="1" s="54"/>
    <row r="934" ht="15.75" customHeight="1" s="54"/>
    <row r="935" ht="15.75" customHeight="1" s="54"/>
    <row r="936" ht="15.75" customHeight="1" s="54"/>
    <row r="937" ht="15.75" customHeight="1" s="54"/>
    <row r="938" ht="15.75" customHeight="1" s="54"/>
    <row r="939" ht="15.75" customHeight="1" s="54"/>
    <row r="940" ht="15.75" customHeight="1" s="54"/>
    <row r="941" ht="15.75" customHeight="1" s="54"/>
    <row r="942" ht="15.75" customHeight="1" s="54"/>
    <row r="943" ht="15.75" customHeight="1" s="54"/>
    <row r="944" ht="15.75" customHeight="1" s="54"/>
    <row r="945" ht="15.75" customHeight="1" s="54"/>
    <row r="946" ht="15.75" customHeight="1" s="54"/>
    <row r="947" ht="15.75" customHeight="1" s="54"/>
    <row r="948" ht="15.75" customHeight="1" s="54"/>
    <row r="949" ht="15.75" customHeight="1" s="54"/>
    <row r="950" ht="15.75" customHeight="1" s="54"/>
    <row r="951" ht="15.75" customHeight="1" s="54"/>
    <row r="952" ht="15.75" customHeight="1" s="54"/>
    <row r="953" ht="15.75" customHeight="1" s="54"/>
    <row r="954" ht="15.75" customHeight="1" s="54"/>
    <row r="955" ht="15.75" customHeight="1" s="54"/>
    <row r="956" ht="15.75" customHeight="1" s="54"/>
    <row r="957" ht="15.75" customHeight="1" s="54"/>
    <row r="958" ht="15.75" customHeight="1" s="54"/>
    <row r="959" ht="15.75" customHeight="1" s="54"/>
    <row r="960" ht="15.75" customHeight="1" s="54"/>
    <row r="961" ht="15.75" customHeight="1" s="54"/>
    <row r="962" ht="15.75" customHeight="1" s="54"/>
    <row r="963" ht="15.75" customHeight="1" s="54"/>
    <row r="964" ht="15.75" customHeight="1" s="54"/>
    <row r="965" ht="15.75" customHeight="1" s="54"/>
    <row r="966" ht="15.75" customHeight="1" s="54"/>
    <row r="967" ht="15.75" customHeight="1" s="54"/>
    <row r="968" ht="15.75" customHeight="1" s="54"/>
    <row r="969" ht="15.75" customHeight="1" s="54"/>
    <row r="970" ht="15.75" customHeight="1" s="54"/>
    <row r="971" ht="15.75" customHeight="1" s="54"/>
    <row r="972" ht="15.75" customHeight="1" s="54"/>
    <row r="973" ht="15.75" customHeight="1" s="54"/>
    <row r="974" ht="15.75" customHeight="1" s="54"/>
    <row r="975" ht="15.75" customHeight="1" s="54"/>
    <row r="976" ht="15.75" customHeight="1" s="54"/>
    <row r="977" ht="15.75" customHeight="1" s="54"/>
    <row r="978" ht="15.75" customHeight="1" s="54"/>
    <row r="979" ht="15.75" customHeight="1" s="54"/>
    <row r="980" ht="15.75" customHeight="1" s="54"/>
    <row r="981" ht="15.75" customHeight="1" s="54"/>
    <row r="982" ht="15.75" customHeight="1" s="54"/>
    <row r="983" ht="15.75" customHeight="1" s="54"/>
    <row r="984" ht="15.75" customHeight="1" s="54"/>
    <row r="985" ht="15.75" customHeight="1" s="54"/>
    <row r="986" ht="15.75" customHeight="1" s="54"/>
    <row r="987" ht="15.75" customHeight="1" s="54"/>
    <row r="988" ht="15.75" customHeight="1" s="54"/>
    <row r="989" ht="15.75" customHeight="1" s="54"/>
    <row r="990" ht="15.75" customHeight="1" s="54"/>
    <row r="991" ht="15.75" customHeight="1" s="54"/>
    <row r="992" ht="15.75" customHeight="1" s="54"/>
    <row r="993" ht="15.75" customHeight="1" s="54"/>
    <row r="994" ht="15.75" customHeight="1" s="54"/>
    <row r="995" ht="15.75" customHeight="1" s="54"/>
    <row r="996" ht="15.75" customHeight="1" s="54"/>
    <row r="997" ht="15.75" customHeight="1" s="54"/>
    <row r="998" ht="15.75" customHeight="1" s="54"/>
    <row r="999" ht="15.75" customHeight="1" s="54"/>
    <row r="1000" ht="15.75" customHeight="1" s="54"/>
  </sheetData>
  <mergeCells count="2">
    <mergeCell ref="A16:G16"/>
    <mergeCell ref="A1:G1"/>
  </mergeCells>
  <pageMargins left="0.75" right="0.75" top="1" bottom="1" header="0" footer="0"/>
  <pageSetup orientation="landscape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33"/>
  <sheetViews>
    <sheetView showGridLines="0" workbookViewId="0">
      <selection activeCell="A1" sqref="A1"/>
    </sheetView>
  </sheetViews>
  <sheetFormatPr baseColWidth="8" defaultColWidth="14.453125" defaultRowHeight="15" customHeight="1"/>
  <cols>
    <col width="6" customWidth="1" style="54" min="1" max="1"/>
    <col width="8" customWidth="1" style="54" min="2" max="2"/>
    <col width="28" customWidth="1" style="54" min="3" max="3"/>
    <col width="26" customWidth="1" style="54" min="4" max="9"/>
    <col width="8.7265625" customWidth="1" style="54" min="10" max="26"/>
  </cols>
  <sheetData>
    <row r="1" ht="30" customHeight="1" s="54">
      <c r="A1" s="83" t="inlineStr">
        <is>
          <t>Offline Experience — Supplementary Data (Q8b, Q19, Q20 from Google Form)</t>
        </is>
      </c>
    </row>
    <row r="2" ht="19.5" customHeight="1" s="54">
      <c r="A2" s="87" t="inlineStr">
        <is>
          <t>These questions are supplementary to the SUS — they do NOT affect the SUS score calculation.</t>
        </is>
      </c>
    </row>
    <row r="3" ht="18" customHeight="1" s="54">
      <c r="A3" s="88" t="inlineStr">
        <is>
          <t>Q8b — Offline Tasks Attempted (tick = attempted)  |  Google Form: Section 6 of 9</t>
        </is>
      </c>
    </row>
    <row r="4" ht="49.5" customHeight="1" s="54">
      <c r="A4" s="32" t="inlineStr">
        <is>
          <t>#</t>
        </is>
      </c>
      <c r="B4" s="32" t="inlineStr">
        <is>
          <t>ID</t>
        </is>
      </c>
      <c r="C4" s="32" t="inlineStr">
        <is>
          <t>Role</t>
        </is>
      </c>
      <c r="D4" s="32" t="inlineStr">
        <is>
          <t>Browsed dashboard offline (All)</t>
        </is>
      </c>
      <c r="E4" s="32" t="inlineStr">
        <is>
          <t>Submitted request offline (Tenant)</t>
        </is>
      </c>
      <c r="F4" s="32" t="inlineStr">
        <is>
          <t>Completed task offline (Operations)</t>
        </is>
      </c>
      <c r="G4" s="32" t="inlineStr">
        <is>
          <t>Reviewed request offline (Management)</t>
        </is>
      </c>
      <c r="H4" s="32" t="inlineStr">
        <is>
          <t>Offline re-login (All)</t>
        </is>
      </c>
      <c r="I4" s="32" t="inlineStr">
        <is>
          <t>Sync banner on reconnect (All)</t>
        </is>
      </c>
    </row>
    <row r="5" ht="18" customHeight="1" s="54">
      <c r="A5" s="23" t="n">
        <v>1</v>
      </c>
      <c r="B5" s="23" t="inlineStr">
        <is>
          <t>P1</t>
        </is>
      </c>
      <c r="C5" s="23" t="inlineStr">
        <is>
          <t>IPDC Management Staff</t>
        </is>
      </c>
      <c r="D5" s="46" t="inlineStr">
        <is>
          <t>✓</t>
        </is>
      </c>
      <c r="E5" s="46" t="n"/>
      <c r="F5" s="46" t="n"/>
      <c r="G5" s="46" t="inlineStr">
        <is>
          <t>✓</t>
        </is>
      </c>
      <c r="H5" s="46" t="inlineStr">
        <is>
          <t>✓</t>
        </is>
      </c>
      <c r="I5" s="46" t="inlineStr">
        <is>
          <t>✓</t>
        </is>
      </c>
    </row>
    <row r="6" ht="18" customHeight="1" s="54">
      <c r="A6" s="24" t="n">
        <v>2</v>
      </c>
      <c r="B6" s="24" t="inlineStr">
        <is>
          <t>P2</t>
        </is>
      </c>
      <c r="C6" s="24" t="inlineStr">
        <is>
          <t>Tenant Representative</t>
        </is>
      </c>
      <c r="D6" s="46" t="n"/>
      <c r="E6" s="46" t="inlineStr">
        <is>
          <t>✓</t>
        </is>
      </c>
      <c r="F6" s="46" t="n"/>
      <c r="G6" s="46" t="n"/>
      <c r="H6" s="46" t="n"/>
      <c r="I6" s="46" t="n"/>
    </row>
    <row r="7" ht="18" customHeight="1" s="54">
      <c r="A7" s="23" t="n">
        <v>3</v>
      </c>
      <c r="B7" s="23" t="inlineStr">
        <is>
          <t>P3</t>
        </is>
      </c>
      <c r="C7" s="23" t="inlineStr">
        <is>
          <t>IPDC Management Staff</t>
        </is>
      </c>
      <c r="D7" s="46" t="n"/>
      <c r="E7" s="46" t="n"/>
      <c r="F7" s="46" t="inlineStr">
        <is>
          <t>✓</t>
        </is>
      </c>
      <c r="G7" s="46" t="n"/>
      <c r="H7" s="46" t="n"/>
      <c r="I7" s="46" t="n"/>
    </row>
    <row r="8" ht="18" customHeight="1" s="54">
      <c r="A8" s="24" t="n">
        <v>4</v>
      </c>
      <c r="B8" s="24" t="inlineStr">
        <is>
          <t>P4</t>
        </is>
      </c>
      <c r="C8" s="24" t="inlineStr">
        <is>
          <t>Operations Staff</t>
        </is>
      </c>
      <c r="D8" s="46" t="n"/>
      <c r="E8" s="46" t="inlineStr">
        <is>
          <t>✓</t>
        </is>
      </c>
      <c r="F8" s="46" t="n"/>
      <c r="G8" s="46" t="n"/>
      <c r="H8" s="46" t="n"/>
      <c r="I8" s="46" t="n"/>
    </row>
    <row r="9" ht="18" customHeight="1" s="54">
      <c r="A9" s="23" t="n">
        <v>5</v>
      </c>
      <c r="B9" s="23" t="inlineStr">
        <is>
          <t>P5</t>
        </is>
      </c>
      <c r="C9" s="23" t="inlineStr">
        <is>
          <t>IPDC Management Staff</t>
        </is>
      </c>
      <c r="D9" s="46" t="n"/>
      <c r="E9" s="46" t="n"/>
      <c r="F9" s="46" t="n"/>
      <c r="G9" s="46" t="n"/>
      <c r="H9" s="46" t="n"/>
      <c r="I9" s="46" t="inlineStr">
        <is>
          <t>✓</t>
        </is>
      </c>
    </row>
    <row r="10" ht="18" customHeight="1" s="54">
      <c r="A10" s="24" t="n">
        <v>6</v>
      </c>
      <c r="B10" s="24" t="inlineStr">
        <is>
          <t>P6</t>
        </is>
      </c>
      <c r="C10" s="24" t="inlineStr">
        <is>
          <t>Operations Staff</t>
        </is>
      </c>
      <c r="D10" s="46" t="n"/>
      <c r="E10" s="46" t="n"/>
      <c r="F10" s="46" t="inlineStr">
        <is>
          <t>✓</t>
        </is>
      </c>
      <c r="G10" s="46" t="n"/>
      <c r="H10" s="46" t="n"/>
      <c r="I10" s="46" t="n"/>
    </row>
    <row r="11" ht="18" customHeight="1" s="54">
      <c r="A11" s="23" t="n">
        <v>7</v>
      </c>
      <c r="B11" s="23" t="inlineStr">
        <is>
          <t>P7</t>
        </is>
      </c>
      <c r="C11" s="23" t="inlineStr">
        <is>
          <t>Operations Staff</t>
        </is>
      </c>
      <c r="D11" s="46" t="inlineStr">
        <is>
          <t>✓</t>
        </is>
      </c>
      <c r="E11" s="46" t="n"/>
      <c r="F11" s="46" t="inlineStr">
        <is>
          <t>✓</t>
        </is>
      </c>
      <c r="G11" s="46" t="inlineStr">
        <is>
          <t>✓</t>
        </is>
      </c>
      <c r="H11" s="46" t="inlineStr">
        <is>
          <t>✓</t>
        </is>
      </c>
      <c r="I11" s="46" t="inlineStr">
        <is>
          <t>✓</t>
        </is>
      </c>
    </row>
    <row r="12" ht="18" customHeight="1" s="54">
      <c r="A12" s="24" t="n">
        <v>8</v>
      </c>
      <c r="B12" s="24" t="inlineStr">
        <is>
          <t>P8</t>
        </is>
      </c>
      <c r="C12" s="24" t="inlineStr">
        <is>
          <t>Operations Staff</t>
        </is>
      </c>
      <c r="D12" s="46" t="n"/>
      <c r="E12" s="46" t="n"/>
      <c r="F12" s="46" t="inlineStr">
        <is>
          <t>✓</t>
        </is>
      </c>
      <c r="G12" s="46" t="inlineStr">
        <is>
          <t>✓</t>
        </is>
      </c>
      <c r="H12" s="46" t="n"/>
      <c r="I12" s="46" t="n"/>
    </row>
    <row r="13" ht="18" customHeight="1" s="54">
      <c r="A13" s="23" t="n">
        <v>9</v>
      </c>
      <c r="B13" s="23" t="inlineStr">
        <is>
          <t>P9</t>
        </is>
      </c>
      <c r="C13" s="23" t="inlineStr">
        <is>
          <t>Tenant Representative</t>
        </is>
      </c>
      <c r="D13" s="46" t="inlineStr">
        <is>
          <t>✓</t>
        </is>
      </c>
      <c r="E13" s="46" t="inlineStr">
        <is>
          <t>✓</t>
        </is>
      </c>
      <c r="F13" s="46" t="inlineStr">
        <is>
          <t>✓</t>
        </is>
      </c>
      <c r="G13" s="46" t="inlineStr">
        <is>
          <t>✓</t>
        </is>
      </c>
      <c r="H13" s="46" t="inlineStr">
        <is>
          <t>✓</t>
        </is>
      </c>
      <c r="I13" s="46" t="inlineStr">
        <is>
          <t>✓</t>
        </is>
      </c>
    </row>
    <row r="14">
      <c r="A14" s="23" t="n">
        <v>10</v>
      </c>
      <c r="B14" s="23" t="inlineStr">
        <is>
          <t>P10</t>
        </is>
      </c>
      <c r="C14" s="23" t="inlineStr">
        <is>
          <t>Operations Staff</t>
        </is>
      </c>
      <c r="D14" s="46" t="n"/>
      <c r="E14" s="46" t="inlineStr">
        <is>
          <t>✓</t>
        </is>
      </c>
      <c r="F14" s="46" t="n"/>
      <c r="G14" s="46" t="n"/>
      <c r="H14" s="46" t="n"/>
      <c r="I14" s="46" t="n"/>
    </row>
    <row r="15" ht="14.5" customHeight="1" s="54">
      <c r="A15" s="23" t="n">
        <v>11</v>
      </c>
      <c r="B15" s="23" t="inlineStr">
        <is>
          <t>P11</t>
        </is>
      </c>
      <c r="C15" s="23" t="inlineStr">
        <is>
          <t>Operations Staff</t>
        </is>
      </c>
      <c r="D15" s="46" t="n"/>
      <c r="E15" s="46" t="n"/>
      <c r="F15" s="46" t="inlineStr">
        <is>
          <t>✓</t>
        </is>
      </c>
      <c r="G15" s="46" t="n"/>
      <c r="H15" s="46" t="n"/>
      <c r="I15" s="46" t="n"/>
    </row>
    <row r="16">
      <c r="A16" s="23" t="n">
        <v>12</v>
      </c>
      <c r="B16" s="23" t="inlineStr">
        <is>
          <t>P12</t>
        </is>
      </c>
      <c r="C16" s="23" t="inlineStr">
        <is>
          <t>Tenant Representative</t>
        </is>
      </c>
      <c r="D16" s="46" t="inlineStr">
        <is>
          <t>✓</t>
        </is>
      </c>
      <c r="E16" s="46" t="inlineStr">
        <is>
          <t>✓</t>
        </is>
      </c>
      <c r="F16" s="46" t="n"/>
      <c r="G16" s="46" t="n"/>
      <c r="H16" s="46" t="inlineStr">
        <is>
          <t>✓</t>
        </is>
      </c>
      <c r="I16" s="46" t="inlineStr">
        <is>
          <t>✓</t>
        </is>
      </c>
    </row>
    <row r="17" ht="18" customHeight="1" s="54">
      <c r="A17" s="88" t="inlineStr">
        <is>
          <t>Enter  ✓  if the participant attempted the task, or leave blank if not attempted.</t>
        </is>
      </c>
    </row>
    <row r="18" ht="43.5" customHeight="1" s="54">
      <c r="A18" s="32" t="inlineStr">
        <is>
          <t>#</t>
        </is>
      </c>
      <c r="B18" s="32" t="inlineStr">
        <is>
          <t>ID</t>
        </is>
      </c>
      <c r="C18" s="32" t="inlineStr">
        <is>
          <t>Role</t>
        </is>
      </c>
      <c r="D18" s="32" t="inlineStr">
        <is>
          <t>Q19: Offline data confidence (1–5)
1=Not confident  5=Fully confident</t>
        </is>
      </c>
      <c r="E18" s="32" t="inlineStr">
        <is>
          <t>Q20: Online/offline clarity
Yes always / Sometimes / No</t>
        </is>
      </c>
    </row>
    <row r="19" ht="18" customHeight="1" s="54">
      <c r="A19" s="23" t="inlineStr">
        <is>
          <t>Q19 — Offline Confidence Score  |  Q20 — Online/Offline Clarity  |  Google Form: Section 8 of 9</t>
        </is>
      </c>
      <c r="B19" s="23" t="inlineStr">
        <is>
          <t>P1</t>
        </is>
      </c>
      <c r="C19" s="23" t="inlineStr">
        <is>
          <t>IPDC Management Staff</t>
        </is>
      </c>
      <c r="D19" s="30" t="n"/>
      <c r="E19" s="30" t="n"/>
    </row>
    <row r="20" ht="18" customHeight="1" s="54">
      <c r="A20" s="24" t="inlineStr">
        <is>
          <t>#</t>
        </is>
      </c>
      <c r="B20" s="24" t="inlineStr">
        <is>
          <t>ID</t>
        </is>
      </c>
      <c r="C20" s="24" t="inlineStr">
        <is>
          <t>Role</t>
        </is>
      </c>
      <c r="D20" s="30" t="inlineStr">
        <is>
          <t>Q19: Offline data confidence (1–5)
1=Not confident  5=Fully confident</t>
        </is>
      </c>
      <c r="E20" s="30" t="inlineStr">
        <is>
          <t>Q20: Online/offline clarity
Yes always / Sometimes / No</t>
        </is>
      </c>
    </row>
    <row r="21" ht="18" customHeight="1" s="54">
      <c r="A21" s="23" t="n">
        <v>1</v>
      </c>
      <c r="B21" s="23" t="inlineStr">
        <is>
          <t>P1</t>
        </is>
      </c>
      <c r="C21" s="23" t="inlineStr">
        <is>
          <t>IPDC Management Staff</t>
        </is>
      </c>
      <c r="D21" s="30" t="n">
        <v>4</v>
      </c>
      <c r="E21" s="30" t="inlineStr">
        <is>
          <t>Yes, it was always clear</t>
        </is>
      </c>
    </row>
    <row r="22" ht="18" customHeight="1" s="54">
      <c r="A22" s="24" t="n">
        <v>2</v>
      </c>
      <c r="B22" s="24" t="inlineStr">
        <is>
          <t>P2</t>
        </is>
      </c>
      <c r="C22" s="24" t="inlineStr">
        <is>
          <t>Tenant Representative</t>
        </is>
      </c>
      <c r="D22" s="30" t="n">
        <v>4</v>
      </c>
      <c r="E22" s="30" t="inlineStr">
        <is>
          <t>Yes, it was always clear</t>
        </is>
      </c>
    </row>
    <row r="23" ht="18" customHeight="1" s="54">
      <c r="A23" s="23" t="n">
        <v>3</v>
      </c>
      <c r="B23" s="23" t="inlineStr">
        <is>
          <t>P3</t>
        </is>
      </c>
      <c r="C23" s="23" t="inlineStr">
        <is>
          <t>IPDC Management Staff</t>
        </is>
      </c>
      <c r="D23" s="30" t="n">
        <v>5</v>
      </c>
      <c r="E23" s="30" t="inlineStr">
        <is>
          <t>Yes, it was always clear</t>
        </is>
      </c>
    </row>
    <row r="24" ht="18" customHeight="1" s="54">
      <c r="A24" s="24" t="n">
        <v>4</v>
      </c>
      <c r="B24" s="24" t="inlineStr">
        <is>
          <t>P4</t>
        </is>
      </c>
      <c r="C24" s="24" t="inlineStr">
        <is>
          <t>Operations Staff</t>
        </is>
      </c>
      <c r="D24" s="30" t="n">
        <v>4</v>
      </c>
      <c r="E24" s="30" t="inlineStr">
        <is>
          <t>Yes, it was always clear</t>
        </is>
      </c>
    </row>
    <row r="25" ht="18" customHeight="1" s="54">
      <c r="A25" s="23" t="n">
        <v>5</v>
      </c>
      <c r="B25" s="23" t="inlineStr">
        <is>
          <t>P5</t>
        </is>
      </c>
      <c r="C25" s="23" t="inlineStr">
        <is>
          <t>IPDC Management Staff</t>
        </is>
      </c>
      <c r="D25" s="30" t="n">
        <v>4</v>
      </c>
      <c r="E25" s="30" t="inlineStr">
        <is>
          <t>Yes, it was always clear</t>
        </is>
      </c>
    </row>
    <row r="26" ht="18" customHeight="1" s="54">
      <c r="A26" s="24" t="n">
        <v>6</v>
      </c>
      <c r="B26" s="24" t="inlineStr">
        <is>
          <t>P6</t>
        </is>
      </c>
      <c r="C26" s="24" t="inlineStr">
        <is>
          <t>Operations Staff</t>
        </is>
      </c>
      <c r="D26" s="30" t="n">
        <v>4</v>
      </c>
      <c r="E26" s="30" t="inlineStr">
        <is>
          <t>Yes, it was always clear</t>
        </is>
      </c>
    </row>
    <row r="27" ht="18" customHeight="1" s="54">
      <c r="A27" s="23" t="n">
        <v>7</v>
      </c>
      <c r="B27" s="23" t="inlineStr">
        <is>
          <t>P7</t>
        </is>
      </c>
      <c r="C27" s="23" t="inlineStr">
        <is>
          <t>Operations Staff</t>
        </is>
      </c>
      <c r="D27" s="30" t="n">
        <v>5</v>
      </c>
      <c r="E27" s="30" t="inlineStr">
        <is>
          <t>Yes, it was always clear</t>
        </is>
      </c>
    </row>
    <row r="28" ht="21.75" customHeight="1" s="54">
      <c r="A28" s="89" t="n">
        <v>8</v>
      </c>
      <c r="B28" t="inlineStr">
        <is>
          <t>P8</t>
        </is>
      </c>
      <c r="C28" t="inlineStr">
        <is>
          <t>Operations Staff</t>
        </is>
      </c>
      <c r="D28" s="47" t="n">
        <v>4</v>
      </c>
      <c r="E28" t="inlineStr">
        <is>
          <t>Yes, it was always clear</t>
        </is>
      </c>
    </row>
    <row r="29" ht="15.75" customHeight="1" s="54">
      <c r="A29" t="n">
        <v>9</v>
      </c>
      <c r="B29" t="inlineStr">
        <is>
          <t>P9</t>
        </is>
      </c>
      <c r="C29" t="inlineStr">
        <is>
          <t>Tenant Representative</t>
        </is>
      </c>
      <c r="D29" t="n">
        <v>4</v>
      </c>
      <c r="E29" t="inlineStr">
        <is>
          <t>Yes, it was always clear</t>
        </is>
      </c>
    </row>
    <row r="30" ht="15.75" customHeight="1" s="54">
      <c r="A30" t="n">
        <v>10</v>
      </c>
      <c r="B30" t="inlineStr">
        <is>
          <t>P10</t>
        </is>
      </c>
      <c r="C30" t="inlineStr">
        <is>
          <t>Operations Staff</t>
        </is>
      </c>
      <c r="D30" t="n">
        <v>4</v>
      </c>
      <c r="E30" t="inlineStr">
        <is>
          <t>Sometimes clear, sometimes not</t>
        </is>
      </c>
    </row>
    <row r="31" ht="15.75" customHeight="1" s="54">
      <c r="A31" t="n">
        <v>11</v>
      </c>
      <c r="B31" t="inlineStr">
        <is>
          <t>P11</t>
        </is>
      </c>
      <c r="C31" t="inlineStr">
        <is>
          <t>Operations Staff</t>
        </is>
      </c>
      <c r="D31" t="n">
        <v>4</v>
      </c>
      <c r="E31" t="inlineStr">
        <is>
          <t>Yes, it was always clear</t>
        </is>
      </c>
    </row>
    <row r="32" ht="15.75" customHeight="1" s="54">
      <c r="A32" t="n">
        <v>12</v>
      </c>
      <c r="B32" t="inlineStr">
        <is>
          <t>P12</t>
        </is>
      </c>
      <c r="C32" t="inlineStr">
        <is>
          <t>Tenant Representative</t>
        </is>
      </c>
      <c r="D32" t="n">
        <v>4</v>
      </c>
      <c r="E32" t="inlineStr">
        <is>
          <t>Yes, it was always clear</t>
        </is>
      </c>
    </row>
    <row r="33" ht="15.75" customHeight="1" s="54">
      <c r="A33" s="89" t="inlineStr">
        <is>
          <t>MEAN (Q19)</t>
        </is>
      </c>
      <c r="D33" s="47">
        <f>IFERROR(AVERAGEIF(D21:D32,"&lt;&gt;"),"")</f>
        <v/>
      </c>
    </row>
    <row r="34" ht="15.75" customHeight="1" s="54"/>
    <row r="35" ht="15.75" customHeight="1" s="54"/>
    <row r="36" ht="15.75" customHeight="1" s="54"/>
    <row r="37" ht="15.75" customHeight="1" s="54"/>
    <row r="38" ht="15.75" customHeight="1" s="54"/>
    <row r="39" ht="15.75" customHeight="1" s="54"/>
    <row r="40" ht="15.75" customHeight="1" s="54"/>
    <row r="41" ht="15.75" customHeight="1" s="54"/>
    <row r="42" ht="15.75" customHeight="1" s="54"/>
    <row r="43" ht="15.75" customHeight="1" s="54"/>
    <row r="44" ht="15.75" customHeight="1" s="54"/>
    <row r="45" ht="15.75" customHeight="1" s="54"/>
    <row r="46" ht="15.75" customHeight="1" s="54"/>
    <row r="47" ht="15.75" customHeight="1" s="54"/>
    <row r="48" ht="15.75" customHeight="1" s="54"/>
    <row r="49" ht="15.75" customHeight="1" s="54"/>
    <row r="50" ht="15.75" customHeight="1" s="54"/>
    <row r="51" ht="15.75" customHeight="1" s="54"/>
    <row r="52" ht="15.75" customHeight="1" s="54"/>
    <row r="53" ht="15.75" customHeight="1" s="54"/>
    <row r="54" ht="15.75" customHeight="1" s="54"/>
    <row r="55" ht="15.75" customHeight="1" s="54"/>
    <row r="56" ht="15.75" customHeight="1" s="54"/>
    <row r="57" ht="15.75" customHeight="1" s="54"/>
    <row r="58" ht="15.75" customHeight="1" s="54"/>
    <row r="59" ht="15.75" customHeight="1" s="54"/>
    <row r="60" ht="15.75" customHeight="1" s="54"/>
    <row r="61" ht="15.75" customHeight="1" s="54"/>
    <row r="62" ht="15.75" customHeight="1" s="54"/>
    <row r="63" ht="15.75" customHeight="1" s="54"/>
    <row r="64" ht="15.75" customHeight="1" s="54"/>
    <row r="65" ht="15.75" customHeight="1" s="54"/>
    <row r="66" ht="15.75" customHeight="1" s="54"/>
    <row r="67" ht="15.75" customHeight="1" s="54"/>
    <row r="68" ht="15.75" customHeight="1" s="54"/>
    <row r="69" ht="15.75" customHeight="1" s="54"/>
    <row r="70" ht="15.75" customHeight="1" s="54"/>
    <row r="71" ht="15.75" customHeight="1" s="54"/>
    <row r="72" ht="15.75" customHeight="1" s="54"/>
    <row r="73" ht="15.75" customHeight="1" s="54"/>
    <row r="74" ht="15.75" customHeight="1" s="54"/>
    <row r="75" ht="15.75" customHeight="1" s="54"/>
    <row r="76" ht="15.75" customHeight="1" s="54"/>
    <row r="77" ht="15.75" customHeight="1" s="54"/>
    <row r="78" ht="15.75" customHeight="1" s="54"/>
    <row r="79" ht="15.75" customHeight="1" s="54"/>
    <row r="80" ht="15.75" customHeight="1" s="54"/>
    <row r="81" ht="15.75" customHeight="1" s="54"/>
    <row r="82" ht="15.75" customHeight="1" s="54"/>
    <row r="83" ht="15.75" customHeight="1" s="54"/>
    <row r="84" ht="15.75" customHeight="1" s="54"/>
    <row r="85" ht="15.75" customHeight="1" s="54"/>
    <row r="86" ht="15.75" customHeight="1" s="54"/>
    <row r="87" ht="15.75" customHeight="1" s="54"/>
    <row r="88" ht="15.75" customHeight="1" s="54"/>
    <row r="89" ht="15.75" customHeight="1" s="54"/>
    <row r="90" ht="15.75" customHeight="1" s="54"/>
    <row r="91" ht="15.75" customHeight="1" s="54"/>
    <row r="92" ht="15.75" customHeight="1" s="54"/>
    <row r="93" ht="15.75" customHeight="1" s="54"/>
    <row r="94" ht="15.75" customHeight="1" s="54"/>
    <row r="95" ht="15.75" customHeight="1" s="54"/>
    <row r="96" ht="15.75" customHeight="1" s="54"/>
    <row r="97" ht="15.75" customHeight="1" s="54"/>
    <row r="98" ht="15.75" customHeight="1" s="54"/>
    <row r="99" ht="15.75" customHeight="1" s="54"/>
    <row r="100" ht="15.75" customHeight="1" s="54"/>
    <row r="101" ht="15.75" customHeight="1" s="54"/>
    <row r="102" ht="15.75" customHeight="1" s="54"/>
    <row r="103" ht="15.75" customHeight="1" s="54"/>
    <row r="104" ht="15.75" customHeight="1" s="54"/>
    <row r="105" ht="15.75" customHeight="1" s="54"/>
    <row r="106" ht="15.75" customHeight="1" s="54"/>
    <row r="107" ht="15.75" customHeight="1" s="54"/>
    <row r="108" ht="15.75" customHeight="1" s="54"/>
    <row r="109" ht="15.75" customHeight="1" s="54"/>
    <row r="110" ht="15.75" customHeight="1" s="54"/>
    <row r="111" ht="15.75" customHeight="1" s="54"/>
    <row r="112" ht="15.75" customHeight="1" s="54"/>
    <row r="113" ht="15.75" customHeight="1" s="54"/>
    <row r="114" ht="15.75" customHeight="1" s="54"/>
    <row r="115" ht="15.75" customHeight="1" s="54"/>
    <row r="116" ht="15.75" customHeight="1" s="54"/>
    <row r="117" ht="15.75" customHeight="1" s="54"/>
    <row r="118" ht="15.75" customHeight="1" s="54"/>
    <row r="119" ht="15.75" customHeight="1" s="54"/>
    <row r="120" ht="15.75" customHeight="1" s="54"/>
    <row r="121" ht="15.75" customHeight="1" s="54"/>
    <row r="122" ht="15.75" customHeight="1" s="54"/>
    <row r="123" ht="15.75" customHeight="1" s="54"/>
    <row r="124" ht="15.75" customHeight="1" s="54"/>
    <row r="125" ht="15.75" customHeight="1" s="54"/>
    <row r="126" ht="15.75" customHeight="1" s="54"/>
    <row r="127" ht="15.75" customHeight="1" s="54"/>
    <row r="128" ht="15.75" customHeight="1" s="54"/>
    <row r="129" ht="15.75" customHeight="1" s="54"/>
    <row r="130" ht="15.75" customHeight="1" s="54"/>
    <row r="131" ht="15.75" customHeight="1" s="54"/>
    <row r="132" ht="15.75" customHeight="1" s="54"/>
    <row r="133" ht="15.75" customHeight="1" s="54"/>
    <row r="134" ht="15.75" customHeight="1" s="54"/>
    <row r="135" ht="15.75" customHeight="1" s="54"/>
    <row r="136" ht="15.75" customHeight="1" s="54"/>
    <row r="137" ht="15.75" customHeight="1" s="54"/>
    <row r="138" ht="15.75" customHeight="1" s="54"/>
    <row r="139" ht="15.75" customHeight="1" s="54"/>
    <row r="140" ht="15.75" customHeight="1" s="54"/>
    <row r="141" ht="15.75" customHeight="1" s="54"/>
    <row r="142" ht="15.75" customHeight="1" s="54"/>
    <row r="143" ht="15.75" customHeight="1" s="54"/>
    <row r="144" ht="15.75" customHeight="1" s="54"/>
    <row r="145" ht="15.75" customHeight="1" s="54"/>
    <row r="146" ht="15.75" customHeight="1" s="54"/>
    <row r="147" ht="15.75" customHeight="1" s="54"/>
    <row r="148" ht="15.75" customHeight="1" s="54"/>
    <row r="149" ht="15.75" customHeight="1" s="54"/>
    <row r="150" ht="15.75" customHeight="1" s="54"/>
    <row r="151" ht="15.75" customHeight="1" s="54"/>
    <row r="152" ht="15.75" customHeight="1" s="54"/>
    <row r="153" ht="15.75" customHeight="1" s="54"/>
    <row r="154" ht="15.75" customHeight="1" s="54"/>
    <row r="155" ht="15.75" customHeight="1" s="54"/>
    <row r="156" ht="15.75" customHeight="1" s="54"/>
    <row r="157" ht="15.75" customHeight="1" s="54"/>
    <row r="158" ht="15.75" customHeight="1" s="54"/>
    <row r="159" ht="15.75" customHeight="1" s="54"/>
    <row r="160" ht="15.75" customHeight="1" s="54"/>
    <row r="161" ht="15.75" customHeight="1" s="54"/>
    <row r="162" ht="15.75" customHeight="1" s="54"/>
    <row r="163" ht="15.75" customHeight="1" s="54"/>
    <row r="164" ht="15.75" customHeight="1" s="54"/>
    <row r="165" ht="15.75" customHeight="1" s="54"/>
    <row r="166" ht="15.75" customHeight="1" s="54"/>
    <row r="167" ht="15.75" customHeight="1" s="54"/>
    <row r="168" ht="15.75" customHeight="1" s="54"/>
    <row r="169" ht="15.75" customHeight="1" s="54"/>
    <row r="170" ht="15.75" customHeight="1" s="54"/>
    <row r="171" ht="15.75" customHeight="1" s="54"/>
    <row r="172" ht="15.75" customHeight="1" s="54"/>
    <row r="173" ht="15.75" customHeight="1" s="54"/>
    <row r="174" ht="15.75" customHeight="1" s="54"/>
    <row r="175" ht="15.75" customHeight="1" s="54"/>
    <row r="176" ht="15.75" customHeight="1" s="54"/>
    <row r="177" ht="15.75" customHeight="1" s="54"/>
    <row r="178" ht="15.75" customHeight="1" s="54"/>
    <row r="179" ht="15.75" customHeight="1" s="54"/>
    <row r="180" ht="15.75" customHeight="1" s="54"/>
    <row r="181" ht="15.75" customHeight="1" s="54"/>
    <row r="182" ht="15.75" customHeight="1" s="54"/>
    <row r="183" ht="15.75" customHeight="1" s="54"/>
    <row r="184" ht="15.75" customHeight="1" s="54"/>
    <row r="185" ht="15.75" customHeight="1" s="54"/>
    <row r="186" ht="15.75" customHeight="1" s="54"/>
    <row r="187" ht="15.75" customHeight="1" s="54"/>
    <row r="188" ht="15.75" customHeight="1" s="54"/>
    <row r="189" ht="15.75" customHeight="1" s="54"/>
    <row r="190" ht="15.75" customHeight="1" s="54"/>
    <row r="191" ht="15.75" customHeight="1" s="54"/>
    <row r="192" ht="15.75" customHeight="1" s="54"/>
    <row r="193" ht="15.75" customHeight="1" s="54"/>
    <row r="194" ht="15.75" customHeight="1" s="54"/>
    <row r="195" ht="15.75" customHeight="1" s="54"/>
    <row r="196" ht="15.75" customHeight="1" s="54"/>
    <row r="197" ht="15.75" customHeight="1" s="54"/>
    <row r="198" ht="15.75" customHeight="1" s="54"/>
    <row r="199" ht="15.75" customHeight="1" s="54"/>
    <row r="200" ht="15.75" customHeight="1" s="54"/>
    <row r="201" ht="15.75" customHeight="1" s="54"/>
    <row r="202" ht="15.75" customHeight="1" s="54"/>
    <row r="203" ht="15.75" customHeight="1" s="54"/>
    <row r="204" ht="15.75" customHeight="1" s="54"/>
    <row r="205" ht="15.75" customHeight="1" s="54"/>
    <row r="206" ht="15.75" customHeight="1" s="54"/>
    <row r="207" ht="15.75" customHeight="1" s="54"/>
    <row r="208" ht="15.75" customHeight="1" s="54"/>
    <row r="209" ht="15.75" customHeight="1" s="54"/>
    <row r="210" ht="15.75" customHeight="1" s="54"/>
    <row r="211" ht="15.75" customHeight="1" s="54"/>
    <row r="212" ht="15.75" customHeight="1" s="54"/>
    <row r="213" ht="15.75" customHeight="1" s="54"/>
    <row r="214" ht="15.75" customHeight="1" s="54"/>
    <row r="215" ht="15.75" customHeight="1" s="54"/>
    <row r="216" ht="15.75" customHeight="1" s="54"/>
    <row r="217" ht="15.75" customHeight="1" s="54"/>
    <row r="218" ht="15.75" customHeight="1" s="54"/>
    <row r="219" ht="15.75" customHeight="1" s="54"/>
    <row r="220" ht="15.75" customHeight="1" s="54"/>
    <row r="221" ht="15.75" customHeight="1" s="54"/>
    <row r="222" ht="15.75" customHeight="1" s="54"/>
    <row r="223" ht="15.75" customHeight="1" s="54"/>
    <row r="224" ht="15.75" customHeight="1" s="54"/>
    <row r="225" ht="15.75" customHeight="1" s="54"/>
    <row r="226" ht="15.75" customHeight="1" s="54"/>
    <row r="227" ht="15.75" customHeight="1" s="54"/>
    <row r="228" ht="15.75" customHeight="1" s="54"/>
    <row r="229" ht="15.75" customHeight="1" s="54"/>
    <row r="230" ht="15.75" customHeight="1" s="54"/>
    <row r="231" ht="15.75" customHeight="1" s="54"/>
    <row r="232" ht="15.75" customHeight="1" s="54"/>
    <row r="233" ht="15.75" customHeight="1" s="54"/>
    <row r="234" ht="15.75" customHeight="1" s="54"/>
    <row r="235" ht="15.75" customHeight="1" s="54"/>
    <row r="236" ht="15.75" customHeight="1" s="54"/>
    <row r="237" ht="15.75" customHeight="1" s="54"/>
    <row r="238" ht="15.75" customHeight="1" s="54"/>
    <row r="239" ht="15.75" customHeight="1" s="54"/>
    <row r="240" ht="15.75" customHeight="1" s="54"/>
    <row r="241" ht="15.75" customHeight="1" s="54"/>
    <row r="242" ht="15.75" customHeight="1" s="54"/>
    <row r="243" ht="15.75" customHeight="1" s="54"/>
    <row r="244" ht="15.75" customHeight="1" s="54"/>
    <row r="245" ht="15.75" customHeight="1" s="54"/>
    <row r="246" ht="15.75" customHeight="1" s="54"/>
    <row r="247" ht="15.75" customHeight="1" s="54"/>
    <row r="248" ht="15.75" customHeight="1" s="54"/>
    <row r="249" ht="15.75" customHeight="1" s="54"/>
    <row r="250" ht="15.75" customHeight="1" s="54"/>
    <row r="251" ht="15.75" customHeight="1" s="54"/>
    <row r="252" ht="15.75" customHeight="1" s="54"/>
    <row r="253" ht="15.75" customHeight="1" s="54"/>
    <row r="254" ht="15.75" customHeight="1" s="54"/>
    <row r="255" ht="15.75" customHeight="1" s="54"/>
    <row r="256" ht="15.75" customHeight="1" s="54"/>
    <row r="257" ht="15.75" customHeight="1" s="54"/>
    <row r="258" ht="15.75" customHeight="1" s="54"/>
    <row r="259" ht="15.75" customHeight="1" s="54"/>
    <row r="260" ht="15.75" customHeight="1" s="54"/>
    <row r="261" ht="15.75" customHeight="1" s="54"/>
    <row r="262" ht="15.75" customHeight="1" s="54"/>
    <row r="263" ht="15.75" customHeight="1" s="54"/>
    <row r="264" ht="15.75" customHeight="1" s="54"/>
    <row r="265" ht="15.75" customHeight="1" s="54"/>
    <row r="266" ht="15.75" customHeight="1" s="54"/>
    <row r="267" ht="15.75" customHeight="1" s="54"/>
    <row r="268" ht="15.75" customHeight="1" s="54"/>
    <row r="269" ht="15.75" customHeight="1" s="54"/>
    <row r="270" ht="15.75" customHeight="1" s="54"/>
    <row r="271" ht="15.75" customHeight="1" s="54"/>
    <row r="272" ht="15.75" customHeight="1" s="54"/>
    <row r="273" ht="15.75" customHeight="1" s="54"/>
    <row r="274" ht="15.75" customHeight="1" s="54"/>
    <row r="275" ht="15.75" customHeight="1" s="54"/>
    <row r="276" ht="15.75" customHeight="1" s="54"/>
    <row r="277" ht="15.75" customHeight="1" s="54"/>
    <row r="278" ht="15.75" customHeight="1" s="54"/>
    <row r="279" ht="15.75" customHeight="1" s="54"/>
    <row r="280" ht="15.75" customHeight="1" s="54"/>
    <row r="281" ht="15.75" customHeight="1" s="54"/>
    <row r="282" ht="15.75" customHeight="1" s="54"/>
    <row r="283" ht="15.75" customHeight="1" s="54"/>
    <row r="284" ht="15.75" customHeight="1" s="54"/>
    <row r="285" ht="15.75" customHeight="1" s="54"/>
    <row r="286" ht="15.75" customHeight="1" s="54"/>
    <row r="287" ht="15.75" customHeight="1" s="54"/>
    <row r="288" ht="15.75" customHeight="1" s="54"/>
    <row r="289" ht="15.75" customHeight="1" s="54"/>
    <row r="290" ht="15.75" customHeight="1" s="54"/>
    <row r="291" ht="15.75" customHeight="1" s="54"/>
    <row r="292" ht="15.75" customHeight="1" s="54"/>
    <row r="293" ht="15.75" customHeight="1" s="54"/>
    <row r="294" ht="15.75" customHeight="1" s="54"/>
    <row r="295" ht="15.75" customHeight="1" s="54"/>
    <row r="296" ht="15.75" customHeight="1" s="54"/>
    <row r="297" ht="15.75" customHeight="1" s="54"/>
    <row r="298" ht="15.75" customHeight="1" s="54"/>
    <row r="299" ht="15.75" customHeight="1" s="54"/>
    <row r="300" ht="15.75" customHeight="1" s="54"/>
    <row r="301" ht="15.75" customHeight="1" s="54"/>
    <row r="302" ht="15.75" customHeight="1" s="54"/>
    <row r="303" ht="15.75" customHeight="1" s="54"/>
    <row r="304" ht="15.75" customHeight="1" s="54"/>
    <row r="305" ht="15.75" customHeight="1" s="54"/>
    <row r="306" ht="15.75" customHeight="1" s="54"/>
    <row r="307" ht="15.75" customHeight="1" s="54"/>
    <row r="308" ht="15.75" customHeight="1" s="54"/>
    <row r="309" ht="15.75" customHeight="1" s="54"/>
    <row r="310" ht="15.75" customHeight="1" s="54"/>
    <row r="311" ht="15.75" customHeight="1" s="54"/>
    <row r="312" ht="15.75" customHeight="1" s="54"/>
    <row r="313" ht="15.75" customHeight="1" s="54"/>
    <row r="314" ht="15.75" customHeight="1" s="54"/>
    <row r="315" ht="15.75" customHeight="1" s="54"/>
    <row r="316" ht="15.75" customHeight="1" s="54"/>
    <row r="317" ht="15.75" customHeight="1" s="54"/>
    <row r="318" ht="15.75" customHeight="1" s="54"/>
    <row r="319" ht="15.75" customHeight="1" s="54"/>
    <row r="320" ht="15.75" customHeight="1" s="54"/>
    <row r="321" ht="15.75" customHeight="1" s="54"/>
    <row r="322" ht="15.75" customHeight="1" s="54"/>
    <row r="323" ht="15.75" customHeight="1" s="54"/>
    <row r="324" ht="15.75" customHeight="1" s="54"/>
    <row r="325" ht="15.75" customHeight="1" s="54"/>
    <row r="326" ht="15.75" customHeight="1" s="54"/>
    <row r="327" ht="15.75" customHeight="1" s="54"/>
    <row r="328" ht="15.75" customHeight="1" s="54"/>
    <row r="329" ht="15.75" customHeight="1" s="54"/>
    <row r="330" ht="15.75" customHeight="1" s="54"/>
    <row r="331" ht="15.75" customHeight="1" s="54"/>
    <row r="332" ht="15.75" customHeight="1" s="54"/>
    <row r="333" ht="15.75" customHeight="1" s="54"/>
    <row r="334" ht="15.75" customHeight="1" s="54"/>
    <row r="335" ht="15.75" customHeight="1" s="54"/>
    <row r="336" ht="15.75" customHeight="1" s="54"/>
    <row r="337" ht="15.75" customHeight="1" s="54"/>
    <row r="338" ht="15.75" customHeight="1" s="54"/>
    <row r="339" ht="15.75" customHeight="1" s="54"/>
    <row r="340" ht="15.75" customHeight="1" s="54"/>
    <row r="341" ht="15.75" customHeight="1" s="54"/>
    <row r="342" ht="15.75" customHeight="1" s="54"/>
    <row r="343" ht="15.75" customHeight="1" s="54"/>
    <row r="344" ht="15.75" customHeight="1" s="54"/>
    <row r="345" ht="15.75" customHeight="1" s="54"/>
    <row r="346" ht="15.75" customHeight="1" s="54"/>
    <row r="347" ht="15.75" customHeight="1" s="54"/>
    <row r="348" ht="15.75" customHeight="1" s="54"/>
    <row r="349" ht="15.75" customHeight="1" s="54"/>
    <row r="350" ht="15.75" customHeight="1" s="54"/>
    <row r="351" ht="15.75" customHeight="1" s="54"/>
    <row r="352" ht="15.75" customHeight="1" s="54"/>
    <row r="353" ht="15.75" customHeight="1" s="54"/>
    <row r="354" ht="15.75" customHeight="1" s="54"/>
    <row r="355" ht="15.75" customHeight="1" s="54"/>
    <row r="356" ht="15.75" customHeight="1" s="54"/>
    <row r="357" ht="15.75" customHeight="1" s="54"/>
    <row r="358" ht="15.75" customHeight="1" s="54"/>
    <row r="359" ht="15.75" customHeight="1" s="54"/>
    <row r="360" ht="15.75" customHeight="1" s="54"/>
    <row r="361" ht="15.75" customHeight="1" s="54"/>
    <row r="362" ht="15.75" customHeight="1" s="54"/>
    <row r="363" ht="15.75" customHeight="1" s="54"/>
    <row r="364" ht="15.75" customHeight="1" s="54"/>
    <row r="365" ht="15.75" customHeight="1" s="54"/>
    <row r="366" ht="15.75" customHeight="1" s="54"/>
    <row r="367" ht="15.75" customHeight="1" s="54"/>
    <row r="368" ht="15.75" customHeight="1" s="54"/>
    <row r="369" ht="15.75" customHeight="1" s="54"/>
    <row r="370" ht="15.75" customHeight="1" s="54"/>
    <row r="371" ht="15.75" customHeight="1" s="54"/>
    <row r="372" ht="15.75" customHeight="1" s="54"/>
    <row r="373" ht="15.75" customHeight="1" s="54"/>
    <row r="374" ht="15.75" customHeight="1" s="54"/>
    <row r="375" ht="15.75" customHeight="1" s="54"/>
    <row r="376" ht="15.75" customHeight="1" s="54"/>
    <row r="377" ht="15.75" customHeight="1" s="54"/>
    <row r="378" ht="15.75" customHeight="1" s="54"/>
    <row r="379" ht="15.75" customHeight="1" s="54"/>
    <row r="380" ht="15.75" customHeight="1" s="54"/>
    <row r="381" ht="15.75" customHeight="1" s="54"/>
    <row r="382" ht="15.75" customHeight="1" s="54"/>
    <row r="383" ht="15.75" customHeight="1" s="54"/>
    <row r="384" ht="15.75" customHeight="1" s="54"/>
    <row r="385" ht="15.75" customHeight="1" s="54"/>
    <row r="386" ht="15.75" customHeight="1" s="54"/>
    <row r="387" ht="15.75" customHeight="1" s="54"/>
    <row r="388" ht="15.75" customHeight="1" s="54"/>
    <row r="389" ht="15.75" customHeight="1" s="54"/>
    <row r="390" ht="15.75" customHeight="1" s="54"/>
    <row r="391" ht="15.75" customHeight="1" s="54"/>
    <row r="392" ht="15.75" customHeight="1" s="54"/>
    <row r="393" ht="15.75" customHeight="1" s="54"/>
    <row r="394" ht="15.75" customHeight="1" s="54"/>
    <row r="395" ht="15.75" customHeight="1" s="54"/>
    <row r="396" ht="15.75" customHeight="1" s="54"/>
    <row r="397" ht="15.75" customHeight="1" s="54"/>
    <row r="398" ht="15.75" customHeight="1" s="54"/>
    <row r="399" ht="15.75" customHeight="1" s="54"/>
    <row r="400" ht="15.75" customHeight="1" s="54"/>
    <row r="401" ht="15.75" customHeight="1" s="54"/>
    <row r="402" ht="15.75" customHeight="1" s="54"/>
    <row r="403" ht="15.75" customHeight="1" s="54"/>
    <row r="404" ht="15.75" customHeight="1" s="54"/>
    <row r="405" ht="15.75" customHeight="1" s="54"/>
    <row r="406" ht="15.75" customHeight="1" s="54"/>
    <row r="407" ht="15.75" customHeight="1" s="54"/>
    <row r="408" ht="15.75" customHeight="1" s="54"/>
    <row r="409" ht="15.75" customHeight="1" s="54"/>
    <row r="410" ht="15.75" customHeight="1" s="54"/>
    <row r="411" ht="15.75" customHeight="1" s="54"/>
    <row r="412" ht="15.75" customHeight="1" s="54"/>
    <row r="413" ht="15.75" customHeight="1" s="54"/>
    <row r="414" ht="15.75" customHeight="1" s="54"/>
    <row r="415" ht="15.75" customHeight="1" s="54"/>
    <row r="416" ht="15.75" customHeight="1" s="54"/>
    <row r="417" ht="15.75" customHeight="1" s="54"/>
    <row r="418" ht="15.75" customHeight="1" s="54"/>
    <row r="419" ht="15.75" customHeight="1" s="54"/>
    <row r="420" ht="15.75" customHeight="1" s="54"/>
    <row r="421" ht="15.75" customHeight="1" s="54"/>
    <row r="422" ht="15.75" customHeight="1" s="54"/>
    <row r="423" ht="15.75" customHeight="1" s="54"/>
    <row r="424" ht="15.75" customHeight="1" s="54"/>
    <row r="425" ht="15.75" customHeight="1" s="54"/>
    <row r="426" ht="15.75" customHeight="1" s="54"/>
    <row r="427" ht="15.75" customHeight="1" s="54"/>
    <row r="428" ht="15.75" customHeight="1" s="54"/>
    <row r="429" ht="15.75" customHeight="1" s="54"/>
    <row r="430" ht="15.75" customHeight="1" s="54"/>
    <row r="431" ht="15.75" customHeight="1" s="54"/>
    <row r="432" ht="15.75" customHeight="1" s="54"/>
    <row r="433" ht="15.75" customHeight="1" s="54"/>
    <row r="434" ht="15.75" customHeight="1" s="54"/>
    <row r="435" ht="15.75" customHeight="1" s="54"/>
    <row r="436" ht="15.75" customHeight="1" s="54"/>
    <row r="437" ht="15.75" customHeight="1" s="54"/>
    <row r="438" ht="15.75" customHeight="1" s="54"/>
    <row r="439" ht="15.75" customHeight="1" s="54"/>
    <row r="440" ht="15.75" customHeight="1" s="54"/>
    <row r="441" ht="15.75" customHeight="1" s="54"/>
    <row r="442" ht="15.75" customHeight="1" s="54"/>
    <row r="443" ht="15.75" customHeight="1" s="54"/>
    <row r="444" ht="15.75" customHeight="1" s="54"/>
    <row r="445" ht="15.75" customHeight="1" s="54"/>
    <row r="446" ht="15.75" customHeight="1" s="54"/>
    <row r="447" ht="15.75" customHeight="1" s="54"/>
    <row r="448" ht="15.75" customHeight="1" s="54"/>
    <row r="449" ht="15.75" customHeight="1" s="54"/>
    <row r="450" ht="15.75" customHeight="1" s="54"/>
    <row r="451" ht="15.75" customHeight="1" s="54"/>
    <row r="452" ht="15.75" customHeight="1" s="54"/>
    <row r="453" ht="15.75" customHeight="1" s="54"/>
    <row r="454" ht="15.75" customHeight="1" s="54"/>
    <row r="455" ht="15.75" customHeight="1" s="54"/>
    <row r="456" ht="15.75" customHeight="1" s="54"/>
    <row r="457" ht="15.75" customHeight="1" s="54"/>
    <row r="458" ht="15.75" customHeight="1" s="54"/>
    <row r="459" ht="15.75" customHeight="1" s="54"/>
    <row r="460" ht="15.75" customHeight="1" s="54"/>
    <row r="461" ht="15.75" customHeight="1" s="54"/>
    <row r="462" ht="15.75" customHeight="1" s="54"/>
    <row r="463" ht="15.75" customHeight="1" s="54"/>
    <row r="464" ht="15.75" customHeight="1" s="54"/>
    <row r="465" ht="15.75" customHeight="1" s="54"/>
    <row r="466" ht="15.75" customHeight="1" s="54"/>
    <row r="467" ht="15.75" customHeight="1" s="54"/>
    <row r="468" ht="15.75" customHeight="1" s="54"/>
    <row r="469" ht="15.75" customHeight="1" s="54"/>
    <row r="470" ht="15.75" customHeight="1" s="54"/>
    <row r="471" ht="15.75" customHeight="1" s="54"/>
    <row r="472" ht="15.75" customHeight="1" s="54"/>
    <row r="473" ht="15.75" customHeight="1" s="54"/>
    <row r="474" ht="15.75" customHeight="1" s="54"/>
    <row r="475" ht="15.75" customHeight="1" s="54"/>
    <row r="476" ht="15.75" customHeight="1" s="54"/>
    <row r="477" ht="15.75" customHeight="1" s="54"/>
    <row r="478" ht="15.75" customHeight="1" s="54"/>
    <row r="479" ht="15.75" customHeight="1" s="54"/>
    <row r="480" ht="15.75" customHeight="1" s="54"/>
    <row r="481" ht="15.75" customHeight="1" s="54"/>
    <row r="482" ht="15.75" customHeight="1" s="54"/>
    <row r="483" ht="15.75" customHeight="1" s="54"/>
    <row r="484" ht="15.75" customHeight="1" s="54"/>
    <row r="485" ht="15.75" customHeight="1" s="54"/>
    <row r="486" ht="15.75" customHeight="1" s="54"/>
    <row r="487" ht="15.75" customHeight="1" s="54"/>
    <row r="488" ht="15.75" customHeight="1" s="54"/>
    <row r="489" ht="15.75" customHeight="1" s="54"/>
    <row r="490" ht="15.75" customHeight="1" s="54"/>
    <row r="491" ht="15.75" customHeight="1" s="54"/>
    <row r="492" ht="15.75" customHeight="1" s="54"/>
    <row r="493" ht="15.75" customHeight="1" s="54"/>
    <row r="494" ht="15.75" customHeight="1" s="54"/>
    <row r="495" ht="15.75" customHeight="1" s="54"/>
    <row r="496" ht="15.75" customHeight="1" s="54"/>
    <row r="497" ht="15.75" customHeight="1" s="54"/>
    <row r="498" ht="15.75" customHeight="1" s="54"/>
    <row r="499" ht="15.75" customHeight="1" s="54"/>
    <row r="500" ht="15.75" customHeight="1" s="54"/>
    <row r="501" ht="15.75" customHeight="1" s="54"/>
    <row r="502" ht="15.75" customHeight="1" s="54"/>
    <row r="503" ht="15.75" customHeight="1" s="54"/>
    <row r="504" ht="15.75" customHeight="1" s="54"/>
    <row r="505" ht="15.75" customHeight="1" s="54"/>
    <row r="506" ht="15.75" customHeight="1" s="54"/>
    <row r="507" ht="15.75" customHeight="1" s="54"/>
    <row r="508" ht="15.75" customHeight="1" s="54"/>
    <row r="509" ht="15.75" customHeight="1" s="54"/>
    <row r="510" ht="15.75" customHeight="1" s="54"/>
    <row r="511" ht="15.75" customHeight="1" s="54"/>
    <row r="512" ht="15.75" customHeight="1" s="54"/>
    <row r="513" ht="15.75" customHeight="1" s="54"/>
    <row r="514" ht="15.75" customHeight="1" s="54"/>
    <row r="515" ht="15.75" customHeight="1" s="54"/>
    <row r="516" ht="15.75" customHeight="1" s="54"/>
    <row r="517" ht="15.75" customHeight="1" s="54"/>
    <row r="518" ht="15.75" customHeight="1" s="54"/>
    <row r="519" ht="15.75" customHeight="1" s="54"/>
    <row r="520" ht="15.75" customHeight="1" s="54"/>
    <row r="521" ht="15.75" customHeight="1" s="54"/>
    <row r="522" ht="15.75" customHeight="1" s="54"/>
    <row r="523" ht="15.75" customHeight="1" s="54"/>
    <row r="524" ht="15.75" customHeight="1" s="54"/>
    <row r="525" ht="15.75" customHeight="1" s="54"/>
    <row r="526" ht="15.75" customHeight="1" s="54"/>
    <row r="527" ht="15.75" customHeight="1" s="54"/>
    <row r="528" ht="15.75" customHeight="1" s="54"/>
    <row r="529" ht="15.75" customHeight="1" s="54"/>
    <row r="530" ht="15.75" customHeight="1" s="54"/>
    <row r="531" ht="15.75" customHeight="1" s="54"/>
    <row r="532" ht="15.75" customHeight="1" s="54"/>
    <row r="533" ht="15.75" customHeight="1" s="54"/>
    <row r="534" ht="15.75" customHeight="1" s="54"/>
    <row r="535" ht="15.75" customHeight="1" s="54"/>
    <row r="536" ht="15.75" customHeight="1" s="54"/>
    <row r="537" ht="15.75" customHeight="1" s="54"/>
    <row r="538" ht="15.75" customHeight="1" s="54"/>
    <row r="539" ht="15.75" customHeight="1" s="54"/>
    <row r="540" ht="15.75" customHeight="1" s="54"/>
    <row r="541" ht="15.75" customHeight="1" s="54"/>
    <row r="542" ht="15.75" customHeight="1" s="54"/>
    <row r="543" ht="15.75" customHeight="1" s="54"/>
    <row r="544" ht="15.75" customHeight="1" s="54"/>
    <row r="545" ht="15.75" customHeight="1" s="54"/>
    <row r="546" ht="15.75" customHeight="1" s="54"/>
    <row r="547" ht="15.75" customHeight="1" s="54"/>
    <row r="548" ht="15.75" customHeight="1" s="54"/>
    <row r="549" ht="15.75" customHeight="1" s="54"/>
    <row r="550" ht="15.75" customHeight="1" s="54"/>
    <row r="551" ht="15.75" customHeight="1" s="54"/>
    <row r="552" ht="15.75" customHeight="1" s="54"/>
    <row r="553" ht="15.75" customHeight="1" s="54"/>
    <row r="554" ht="15.75" customHeight="1" s="54"/>
    <row r="555" ht="15.75" customHeight="1" s="54"/>
    <row r="556" ht="15.75" customHeight="1" s="54"/>
    <row r="557" ht="15.75" customHeight="1" s="54"/>
    <row r="558" ht="15.75" customHeight="1" s="54"/>
    <row r="559" ht="15.75" customHeight="1" s="54"/>
    <row r="560" ht="15.75" customHeight="1" s="54"/>
    <row r="561" ht="15.75" customHeight="1" s="54"/>
    <row r="562" ht="15.75" customHeight="1" s="54"/>
    <row r="563" ht="15.75" customHeight="1" s="54"/>
    <row r="564" ht="15.75" customHeight="1" s="54"/>
    <row r="565" ht="15.75" customHeight="1" s="54"/>
    <row r="566" ht="15.75" customHeight="1" s="54"/>
    <row r="567" ht="15.75" customHeight="1" s="54"/>
    <row r="568" ht="15.75" customHeight="1" s="54"/>
    <row r="569" ht="15.75" customHeight="1" s="54"/>
    <row r="570" ht="15.75" customHeight="1" s="54"/>
    <row r="571" ht="15.75" customHeight="1" s="54"/>
    <row r="572" ht="15.75" customHeight="1" s="54"/>
    <row r="573" ht="15.75" customHeight="1" s="54"/>
    <row r="574" ht="15.75" customHeight="1" s="54"/>
    <row r="575" ht="15.75" customHeight="1" s="54"/>
    <row r="576" ht="15.75" customHeight="1" s="54"/>
    <row r="577" ht="15.75" customHeight="1" s="54"/>
    <row r="578" ht="15.75" customHeight="1" s="54"/>
    <row r="579" ht="15.75" customHeight="1" s="54"/>
    <row r="580" ht="15.75" customHeight="1" s="54"/>
    <row r="581" ht="15.75" customHeight="1" s="54"/>
    <row r="582" ht="15.75" customHeight="1" s="54"/>
    <row r="583" ht="15.75" customHeight="1" s="54"/>
    <row r="584" ht="15.75" customHeight="1" s="54"/>
    <row r="585" ht="15.75" customHeight="1" s="54"/>
    <row r="586" ht="15.75" customHeight="1" s="54"/>
    <row r="587" ht="15.75" customHeight="1" s="54"/>
    <row r="588" ht="15.75" customHeight="1" s="54"/>
    <row r="589" ht="15.75" customHeight="1" s="54"/>
    <row r="590" ht="15.75" customHeight="1" s="54"/>
    <row r="591" ht="15.75" customHeight="1" s="54"/>
    <row r="592" ht="15.75" customHeight="1" s="54"/>
    <row r="593" ht="15.75" customHeight="1" s="54"/>
    <row r="594" ht="15.75" customHeight="1" s="54"/>
    <row r="595" ht="15.75" customHeight="1" s="54"/>
    <row r="596" ht="15.75" customHeight="1" s="54"/>
    <row r="597" ht="15.75" customHeight="1" s="54"/>
    <row r="598" ht="15.75" customHeight="1" s="54"/>
    <row r="599" ht="15.75" customHeight="1" s="54"/>
    <row r="600" ht="15.75" customHeight="1" s="54"/>
    <row r="601" ht="15.75" customHeight="1" s="54"/>
    <row r="602" ht="15.75" customHeight="1" s="54"/>
    <row r="603" ht="15.75" customHeight="1" s="54"/>
    <row r="604" ht="15.75" customHeight="1" s="54"/>
    <row r="605" ht="15.75" customHeight="1" s="54"/>
    <row r="606" ht="15.75" customHeight="1" s="54"/>
    <row r="607" ht="15.75" customHeight="1" s="54"/>
    <row r="608" ht="15.75" customHeight="1" s="54"/>
    <row r="609" ht="15.75" customHeight="1" s="54"/>
    <row r="610" ht="15.75" customHeight="1" s="54"/>
    <row r="611" ht="15.75" customHeight="1" s="54"/>
    <row r="612" ht="15.75" customHeight="1" s="54"/>
    <row r="613" ht="15.75" customHeight="1" s="54"/>
    <row r="614" ht="15.75" customHeight="1" s="54"/>
    <row r="615" ht="15.75" customHeight="1" s="54"/>
    <row r="616" ht="15.75" customHeight="1" s="54"/>
    <row r="617" ht="15.75" customHeight="1" s="54"/>
    <row r="618" ht="15.75" customHeight="1" s="54"/>
    <row r="619" ht="15.75" customHeight="1" s="54"/>
    <row r="620" ht="15.75" customHeight="1" s="54"/>
    <row r="621" ht="15.75" customHeight="1" s="54"/>
    <row r="622" ht="15.75" customHeight="1" s="54"/>
    <row r="623" ht="15.75" customHeight="1" s="54"/>
    <row r="624" ht="15.75" customHeight="1" s="54"/>
    <row r="625" ht="15.75" customHeight="1" s="54"/>
    <row r="626" ht="15.75" customHeight="1" s="54"/>
    <row r="627" ht="15.75" customHeight="1" s="54"/>
    <row r="628" ht="15.75" customHeight="1" s="54"/>
    <row r="629" ht="15.75" customHeight="1" s="54"/>
    <row r="630" ht="15.75" customHeight="1" s="54"/>
    <row r="631" ht="15.75" customHeight="1" s="54"/>
    <row r="632" ht="15.75" customHeight="1" s="54"/>
    <row r="633" ht="15.75" customHeight="1" s="54"/>
    <row r="634" ht="15.75" customHeight="1" s="54"/>
    <row r="635" ht="15.75" customHeight="1" s="54"/>
    <row r="636" ht="15.75" customHeight="1" s="54"/>
    <row r="637" ht="15.75" customHeight="1" s="54"/>
    <row r="638" ht="15.75" customHeight="1" s="54"/>
    <row r="639" ht="15.75" customHeight="1" s="54"/>
    <row r="640" ht="15.75" customHeight="1" s="54"/>
    <row r="641" ht="15.75" customHeight="1" s="54"/>
    <row r="642" ht="15.75" customHeight="1" s="54"/>
    <row r="643" ht="15.75" customHeight="1" s="54"/>
    <row r="644" ht="15.75" customHeight="1" s="54"/>
    <row r="645" ht="15.75" customHeight="1" s="54"/>
    <row r="646" ht="15.75" customHeight="1" s="54"/>
    <row r="647" ht="15.75" customHeight="1" s="54"/>
    <row r="648" ht="15.75" customHeight="1" s="54"/>
    <row r="649" ht="15.75" customHeight="1" s="54"/>
    <row r="650" ht="15.75" customHeight="1" s="54"/>
    <row r="651" ht="15.75" customHeight="1" s="54"/>
    <row r="652" ht="15.75" customHeight="1" s="54"/>
    <row r="653" ht="15.75" customHeight="1" s="54"/>
    <row r="654" ht="15.75" customHeight="1" s="54"/>
    <row r="655" ht="15.75" customHeight="1" s="54"/>
    <row r="656" ht="15.75" customHeight="1" s="54"/>
    <row r="657" ht="15.75" customHeight="1" s="54"/>
    <row r="658" ht="15.75" customHeight="1" s="54"/>
    <row r="659" ht="15.75" customHeight="1" s="54"/>
    <row r="660" ht="15.75" customHeight="1" s="54"/>
    <row r="661" ht="15.75" customHeight="1" s="54"/>
    <row r="662" ht="15.75" customHeight="1" s="54"/>
    <row r="663" ht="15.75" customHeight="1" s="54"/>
    <row r="664" ht="15.75" customHeight="1" s="54"/>
    <row r="665" ht="15.75" customHeight="1" s="54"/>
    <row r="666" ht="15.75" customHeight="1" s="54"/>
    <row r="667" ht="15.75" customHeight="1" s="54"/>
    <row r="668" ht="15.75" customHeight="1" s="54"/>
    <row r="669" ht="15.75" customHeight="1" s="54"/>
    <row r="670" ht="15.75" customHeight="1" s="54"/>
    <row r="671" ht="15.75" customHeight="1" s="54"/>
    <row r="672" ht="15.75" customHeight="1" s="54"/>
    <row r="673" ht="15.75" customHeight="1" s="54"/>
    <row r="674" ht="15.75" customHeight="1" s="54"/>
    <row r="675" ht="15.75" customHeight="1" s="54"/>
    <row r="676" ht="15.75" customHeight="1" s="54"/>
    <row r="677" ht="15.75" customHeight="1" s="54"/>
    <row r="678" ht="15.75" customHeight="1" s="54"/>
    <row r="679" ht="15.75" customHeight="1" s="54"/>
    <row r="680" ht="15.75" customHeight="1" s="54"/>
    <row r="681" ht="15.75" customHeight="1" s="54"/>
    <row r="682" ht="15.75" customHeight="1" s="54"/>
    <row r="683" ht="15.75" customHeight="1" s="54"/>
    <row r="684" ht="15.75" customHeight="1" s="54"/>
    <row r="685" ht="15.75" customHeight="1" s="54"/>
    <row r="686" ht="15.75" customHeight="1" s="54"/>
    <row r="687" ht="15.75" customHeight="1" s="54"/>
    <row r="688" ht="15.75" customHeight="1" s="54"/>
    <row r="689" ht="15.75" customHeight="1" s="54"/>
    <row r="690" ht="15.75" customHeight="1" s="54"/>
    <row r="691" ht="15.75" customHeight="1" s="54"/>
    <row r="692" ht="15.75" customHeight="1" s="54"/>
    <row r="693" ht="15.75" customHeight="1" s="54"/>
    <row r="694" ht="15.75" customHeight="1" s="54"/>
    <row r="695" ht="15.75" customHeight="1" s="54"/>
    <row r="696" ht="15.75" customHeight="1" s="54"/>
    <row r="697" ht="15.75" customHeight="1" s="54"/>
    <row r="698" ht="15.75" customHeight="1" s="54"/>
    <row r="699" ht="15.75" customHeight="1" s="54"/>
    <row r="700" ht="15.75" customHeight="1" s="54"/>
    <row r="701" ht="15.75" customHeight="1" s="54"/>
    <row r="702" ht="15.75" customHeight="1" s="54"/>
    <row r="703" ht="15.75" customHeight="1" s="54"/>
    <row r="704" ht="15.75" customHeight="1" s="54"/>
    <row r="705" ht="15.75" customHeight="1" s="54"/>
    <row r="706" ht="15.75" customHeight="1" s="54"/>
    <row r="707" ht="15.75" customHeight="1" s="54"/>
    <row r="708" ht="15.75" customHeight="1" s="54"/>
    <row r="709" ht="15.75" customHeight="1" s="54"/>
    <row r="710" ht="15.75" customHeight="1" s="54"/>
    <row r="711" ht="15.75" customHeight="1" s="54"/>
    <row r="712" ht="15.75" customHeight="1" s="54"/>
    <row r="713" ht="15.75" customHeight="1" s="54"/>
    <row r="714" ht="15.75" customHeight="1" s="54"/>
    <row r="715" ht="15.75" customHeight="1" s="54"/>
    <row r="716" ht="15.75" customHeight="1" s="54"/>
    <row r="717" ht="15.75" customHeight="1" s="54"/>
    <row r="718" ht="15.75" customHeight="1" s="54"/>
    <row r="719" ht="15.75" customHeight="1" s="54"/>
    <row r="720" ht="15.75" customHeight="1" s="54"/>
    <row r="721" ht="15.75" customHeight="1" s="54"/>
    <row r="722" ht="15.75" customHeight="1" s="54"/>
    <row r="723" ht="15.75" customHeight="1" s="54"/>
    <row r="724" ht="15.75" customHeight="1" s="54"/>
    <row r="725" ht="15.75" customHeight="1" s="54"/>
    <row r="726" ht="15.75" customHeight="1" s="54"/>
    <row r="727" ht="15.75" customHeight="1" s="54"/>
    <row r="728" ht="15.75" customHeight="1" s="54"/>
    <row r="729" ht="15.75" customHeight="1" s="54"/>
    <row r="730" ht="15.75" customHeight="1" s="54"/>
    <row r="731" ht="15.75" customHeight="1" s="54"/>
    <row r="732" ht="15.75" customHeight="1" s="54"/>
    <row r="733" ht="15.75" customHeight="1" s="54"/>
    <row r="734" ht="15.75" customHeight="1" s="54"/>
    <row r="735" ht="15.75" customHeight="1" s="54"/>
    <row r="736" ht="15.75" customHeight="1" s="54"/>
    <row r="737" ht="15.75" customHeight="1" s="54"/>
    <row r="738" ht="15.75" customHeight="1" s="54"/>
    <row r="739" ht="15.75" customHeight="1" s="54"/>
    <row r="740" ht="15.75" customHeight="1" s="54"/>
    <row r="741" ht="15.75" customHeight="1" s="54"/>
    <row r="742" ht="15.75" customHeight="1" s="54"/>
    <row r="743" ht="15.75" customHeight="1" s="54"/>
    <row r="744" ht="15.75" customHeight="1" s="54"/>
    <row r="745" ht="15.75" customHeight="1" s="54"/>
    <row r="746" ht="15.75" customHeight="1" s="54"/>
    <row r="747" ht="15.75" customHeight="1" s="54"/>
    <row r="748" ht="15.75" customHeight="1" s="54"/>
    <row r="749" ht="15.75" customHeight="1" s="54"/>
    <row r="750" ht="15.75" customHeight="1" s="54"/>
    <row r="751" ht="15.75" customHeight="1" s="54"/>
    <row r="752" ht="15.75" customHeight="1" s="54"/>
    <row r="753" ht="15.75" customHeight="1" s="54"/>
    <row r="754" ht="15.75" customHeight="1" s="54"/>
    <row r="755" ht="15.75" customHeight="1" s="54"/>
    <row r="756" ht="15.75" customHeight="1" s="54"/>
    <row r="757" ht="15.75" customHeight="1" s="54"/>
    <row r="758" ht="15.75" customHeight="1" s="54"/>
    <row r="759" ht="15.75" customHeight="1" s="54"/>
    <row r="760" ht="15.75" customHeight="1" s="54"/>
    <row r="761" ht="15.75" customHeight="1" s="54"/>
    <row r="762" ht="15.75" customHeight="1" s="54"/>
    <row r="763" ht="15.75" customHeight="1" s="54"/>
    <row r="764" ht="15.75" customHeight="1" s="54"/>
    <row r="765" ht="15.75" customHeight="1" s="54"/>
    <row r="766" ht="15.75" customHeight="1" s="54"/>
    <row r="767" ht="15.75" customHeight="1" s="54"/>
    <row r="768" ht="15.75" customHeight="1" s="54"/>
    <row r="769" ht="15.75" customHeight="1" s="54"/>
    <row r="770" ht="15.75" customHeight="1" s="54"/>
    <row r="771" ht="15.75" customHeight="1" s="54"/>
    <row r="772" ht="15.75" customHeight="1" s="54"/>
    <row r="773" ht="15.75" customHeight="1" s="54"/>
    <row r="774" ht="15.75" customHeight="1" s="54"/>
    <row r="775" ht="15.75" customHeight="1" s="54"/>
    <row r="776" ht="15.75" customHeight="1" s="54"/>
    <row r="777" ht="15.75" customHeight="1" s="54"/>
    <row r="778" ht="15.75" customHeight="1" s="54"/>
    <row r="779" ht="15.75" customHeight="1" s="54"/>
    <row r="780" ht="15.75" customHeight="1" s="54"/>
    <row r="781" ht="15.75" customHeight="1" s="54"/>
    <row r="782" ht="15.75" customHeight="1" s="54"/>
    <row r="783" ht="15.75" customHeight="1" s="54"/>
    <row r="784" ht="15.75" customHeight="1" s="54"/>
    <row r="785" ht="15.75" customHeight="1" s="54"/>
    <row r="786" ht="15.75" customHeight="1" s="54"/>
    <row r="787" ht="15.75" customHeight="1" s="54"/>
    <row r="788" ht="15.75" customHeight="1" s="54"/>
    <row r="789" ht="15.75" customHeight="1" s="54"/>
    <row r="790" ht="15.75" customHeight="1" s="54"/>
    <row r="791" ht="15.75" customHeight="1" s="54"/>
    <row r="792" ht="15.75" customHeight="1" s="54"/>
    <row r="793" ht="15.75" customHeight="1" s="54"/>
    <row r="794" ht="15.75" customHeight="1" s="54"/>
    <row r="795" ht="15.75" customHeight="1" s="54"/>
    <row r="796" ht="15.75" customHeight="1" s="54"/>
    <row r="797" ht="15.75" customHeight="1" s="54"/>
    <row r="798" ht="15.75" customHeight="1" s="54"/>
    <row r="799" ht="15.75" customHeight="1" s="54"/>
    <row r="800" ht="15.75" customHeight="1" s="54"/>
    <row r="801" ht="15.75" customHeight="1" s="54"/>
    <row r="802" ht="15.75" customHeight="1" s="54"/>
    <row r="803" ht="15.75" customHeight="1" s="54"/>
    <row r="804" ht="15.75" customHeight="1" s="54"/>
    <row r="805" ht="15.75" customHeight="1" s="54"/>
    <row r="806" ht="15.75" customHeight="1" s="54"/>
    <row r="807" ht="15.75" customHeight="1" s="54"/>
    <row r="808" ht="15.75" customHeight="1" s="54"/>
    <row r="809" ht="15.75" customHeight="1" s="54"/>
    <row r="810" ht="15.75" customHeight="1" s="54"/>
    <row r="811" ht="15.75" customHeight="1" s="54"/>
    <row r="812" ht="15.75" customHeight="1" s="54"/>
    <row r="813" ht="15.75" customHeight="1" s="54"/>
    <row r="814" ht="15.75" customHeight="1" s="54"/>
    <row r="815" ht="15.75" customHeight="1" s="54"/>
    <row r="816" ht="15.75" customHeight="1" s="54"/>
    <row r="817" ht="15.75" customHeight="1" s="54"/>
    <row r="818" ht="15.75" customHeight="1" s="54"/>
    <row r="819" ht="15.75" customHeight="1" s="54"/>
    <row r="820" ht="15.75" customHeight="1" s="54"/>
    <row r="821" ht="15.75" customHeight="1" s="54"/>
    <row r="822" ht="15.75" customHeight="1" s="54"/>
    <row r="823" ht="15.75" customHeight="1" s="54"/>
    <row r="824" ht="15.75" customHeight="1" s="54"/>
    <row r="825" ht="15.75" customHeight="1" s="54"/>
    <row r="826" ht="15.75" customHeight="1" s="54"/>
    <row r="827" ht="15.75" customHeight="1" s="54"/>
    <row r="828" ht="15.75" customHeight="1" s="54"/>
    <row r="829" ht="15.75" customHeight="1" s="54"/>
    <row r="830" ht="15.75" customHeight="1" s="54"/>
    <row r="831" ht="15.75" customHeight="1" s="54"/>
    <row r="832" ht="15.75" customHeight="1" s="54"/>
    <row r="833" ht="15.75" customHeight="1" s="54"/>
    <row r="834" ht="15.75" customHeight="1" s="54"/>
    <row r="835" ht="15.75" customHeight="1" s="54"/>
    <row r="836" ht="15.75" customHeight="1" s="54"/>
    <row r="837" ht="15.75" customHeight="1" s="54"/>
    <row r="838" ht="15.75" customHeight="1" s="54"/>
    <row r="839" ht="15.75" customHeight="1" s="54"/>
    <row r="840" ht="15.75" customHeight="1" s="54"/>
    <row r="841" ht="15.75" customHeight="1" s="54"/>
    <row r="842" ht="15.75" customHeight="1" s="54"/>
    <row r="843" ht="15.75" customHeight="1" s="54"/>
    <row r="844" ht="15.75" customHeight="1" s="54"/>
    <row r="845" ht="15.75" customHeight="1" s="54"/>
    <row r="846" ht="15.75" customHeight="1" s="54"/>
    <row r="847" ht="15.75" customHeight="1" s="54"/>
    <row r="848" ht="15.75" customHeight="1" s="54"/>
    <row r="849" ht="15.75" customHeight="1" s="54"/>
    <row r="850" ht="15.75" customHeight="1" s="54"/>
    <row r="851" ht="15.75" customHeight="1" s="54"/>
    <row r="852" ht="15.75" customHeight="1" s="54"/>
    <row r="853" ht="15.75" customHeight="1" s="54"/>
    <row r="854" ht="15.75" customHeight="1" s="54"/>
    <row r="855" ht="15.75" customHeight="1" s="54"/>
    <row r="856" ht="15.75" customHeight="1" s="54"/>
    <row r="857" ht="15.75" customHeight="1" s="54"/>
    <row r="858" ht="15.75" customHeight="1" s="54"/>
    <row r="859" ht="15.75" customHeight="1" s="54"/>
    <row r="860" ht="15.75" customHeight="1" s="54"/>
    <row r="861" ht="15.75" customHeight="1" s="54"/>
    <row r="862" ht="15.75" customHeight="1" s="54"/>
    <row r="863" ht="15.75" customHeight="1" s="54"/>
    <row r="864" ht="15.75" customHeight="1" s="54"/>
    <row r="865" ht="15.75" customHeight="1" s="54"/>
    <row r="866" ht="15.75" customHeight="1" s="54"/>
    <row r="867" ht="15.75" customHeight="1" s="54"/>
    <row r="868" ht="15.75" customHeight="1" s="54"/>
    <row r="869" ht="15.75" customHeight="1" s="54"/>
    <row r="870" ht="15.75" customHeight="1" s="54"/>
    <row r="871" ht="15.75" customHeight="1" s="54"/>
    <row r="872" ht="15.75" customHeight="1" s="54"/>
    <row r="873" ht="15.75" customHeight="1" s="54"/>
    <row r="874" ht="15.75" customHeight="1" s="54"/>
    <row r="875" ht="15.75" customHeight="1" s="54"/>
    <row r="876" ht="15.75" customHeight="1" s="54"/>
    <row r="877" ht="15.75" customHeight="1" s="54"/>
    <row r="878" ht="15.75" customHeight="1" s="54"/>
    <row r="879" ht="15.75" customHeight="1" s="54"/>
    <row r="880" ht="15.75" customHeight="1" s="54"/>
    <row r="881" ht="15.75" customHeight="1" s="54"/>
    <row r="882" ht="15.75" customHeight="1" s="54"/>
    <row r="883" ht="15.75" customHeight="1" s="54"/>
    <row r="884" ht="15.75" customHeight="1" s="54"/>
    <row r="885" ht="15.75" customHeight="1" s="54"/>
    <row r="886" ht="15.75" customHeight="1" s="54"/>
    <row r="887" ht="15.75" customHeight="1" s="54"/>
    <row r="888" ht="15.75" customHeight="1" s="54"/>
    <row r="889" ht="15.75" customHeight="1" s="54"/>
    <row r="890" ht="15.75" customHeight="1" s="54"/>
    <row r="891" ht="15.75" customHeight="1" s="54"/>
    <row r="892" ht="15.75" customHeight="1" s="54"/>
    <row r="893" ht="15.75" customHeight="1" s="54"/>
    <row r="894" ht="15.75" customHeight="1" s="54"/>
    <row r="895" ht="15.75" customHeight="1" s="54"/>
    <row r="896" ht="15.75" customHeight="1" s="54"/>
    <row r="897" ht="15.75" customHeight="1" s="54"/>
    <row r="898" ht="15.75" customHeight="1" s="54"/>
    <row r="899" ht="15.75" customHeight="1" s="54"/>
    <row r="900" ht="15.75" customHeight="1" s="54"/>
    <row r="901" ht="15.75" customHeight="1" s="54"/>
    <row r="902" ht="15.75" customHeight="1" s="54"/>
    <row r="903" ht="15.75" customHeight="1" s="54"/>
    <row r="904" ht="15.75" customHeight="1" s="54"/>
    <row r="905" ht="15.75" customHeight="1" s="54"/>
    <row r="906" ht="15.75" customHeight="1" s="54"/>
    <row r="907" ht="15.75" customHeight="1" s="54"/>
    <row r="908" ht="15.75" customHeight="1" s="54"/>
    <row r="909" ht="15.75" customHeight="1" s="54"/>
    <row r="910" ht="15.75" customHeight="1" s="54"/>
    <row r="911" ht="15.75" customHeight="1" s="54"/>
    <row r="912" ht="15.75" customHeight="1" s="54"/>
    <row r="913" ht="15.75" customHeight="1" s="54"/>
    <row r="914" ht="15.75" customHeight="1" s="54"/>
    <row r="915" ht="15.75" customHeight="1" s="54"/>
    <row r="916" ht="15.75" customHeight="1" s="54"/>
    <row r="917" ht="15.75" customHeight="1" s="54"/>
    <row r="918" ht="15.75" customHeight="1" s="54"/>
    <row r="919" ht="15.75" customHeight="1" s="54"/>
    <row r="920" ht="15.75" customHeight="1" s="54"/>
    <row r="921" ht="15.75" customHeight="1" s="54"/>
    <row r="922" ht="15.75" customHeight="1" s="54"/>
    <row r="923" ht="15.75" customHeight="1" s="54"/>
    <row r="924" ht="15.75" customHeight="1" s="54"/>
    <row r="925" ht="15.75" customHeight="1" s="54"/>
    <row r="926" ht="15.75" customHeight="1" s="54"/>
    <row r="927" ht="15.75" customHeight="1" s="54"/>
    <row r="928" ht="15.75" customHeight="1" s="54"/>
    <row r="929" ht="15.75" customHeight="1" s="54"/>
    <row r="930" ht="15.75" customHeight="1" s="54"/>
    <row r="931" ht="15.75" customHeight="1" s="54"/>
    <row r="932" ht="15.75" customHeight="1" s="54"/>
    <row r="933" ht="15.75" customHeight="1" s="54"/>
    <row r="934" ht="15.75" customHeight="1" s="54"/>
    <row r="935" ht="15.75" customHeight="1" s="54"/>
    <row r="936" ht="15.75" customHeight="1" s="54"/>
    <row r="937" ht="15.75" customHeight="1" s="54"/>
    <row r="938" ht="15.75" customHeight="1" s="54"/>
    <row r="939" ht="15.75" customHeight="1" s="54"/>
    <row r="940" ht="15.75" customHeight="1" s="54"/>
    <row r="941" ht="15.75" customHeight="1" s="54"/>
    <row r="942" ht="15.75" customHeight="1" s="54"/>
    <row r="943" ht="15.75" customHeight="1" s="54"/>
    <row r="944" ht="15.75" customHeight="1" s="54"/>
    <row r="945" ht="15.75" customHeight="1" s="54"/>
    <row r="946" ht="15.75" customHeight="1" s="54"/>
    <row r="947" ht="15.75" customHeight="1" s="54"/>
    <row r="948" ht="15.75" customHeight="1" s="54"/>
    <row r="949" ht="15.75" customHeight="1" s="54"/>
    <row r="950" ht="15.75" customHeight="1" s="54"/>
    <row r="951" ht="15.75" customHeight="1" s="54"/>
    <row r="952" ht="15.75" customHeight="1" s="54"/>
    <row r="953" ht="15.75" customHeight="1" s="54"/>
    <row r="954" ht="15.75" customHeight="1" s="54"/>
    <row r="955" ht="15.75" customHeight="1" s="54"/>
    <row r="956" ht="15.75" customHeight="1" s="54"/>
    <row r="957" ht="15.75" customHeight="1" s="54"/>
    <row r="958" ht="15.75" customHeight="1" s="54"/>
    <row r="959" ht="15.75" customHeight="1" s="54"/>
    <row r="960" ht="15.75" customHeight="1" s="54"/>
    <row r="961" ht="15.75" customHeight="1" s="54"/>
    <row r="962" ht="15.75" customHeight="1" s="54"/>
    <row r="963" ht="15.75" customHeight="1" s="54"/>
    <row r="964" ht="15.75" customHeight="1" s="54"/>
    <row r="965" ht="15.75" customHeight="1" s="54"/>
    <row r="966" ht="15.75" customHeight="1" s="54"/>
    <row r="967" ht="15.75" customHeight="1" s="54"/>
    <row r="968" ht="15.75" customHeight="1" s="54"/>
    <row r="969" ht="15.75" customHeight="1" s="54"/>
    <row r="970" ht="15.75" customHeight="1" s="54"/>
    <row r="971" ht="15.75" customHeight="1" s="54"/>
    <row r="972" ht="15.75" customHeight="1" s="54"/>
    <row r="973" ht="15.75" customHeight="1" s="54"/>
    <row r="974" ht="15.75" customHeight="1" s="54"/>
    <row r="975" ht="15.75" customHeight="1" s="54"/>
    <row r="976" ht="15.75" customHeight="1" s="54"/>
    <row r="977" ht="15.75" customHeight="1" s="54"/>
    <row r="978" ht="15.75" customHeight="1" s="54"/>
    <row r="979" ht="15.75" customHeight="1" s="54"/>
    <row r="980" ht="15.75" customHeight="1" s="54"/>
    <row r="981" ht="15.75" customHeight="1" s="54"/>
    <row r="982" ht="15.75" customHeight="1" s="54"/>
    <row r="983" ht="15.75" customHeight="1" s="54"/>
    <row r="984" ht="15.75" customHeight="1" s="54"/>
    <row r="985" ht="15.75" customHeight="1" s="54"/>
    <row r="986" ht="15.75" customHeight="1" s="54"/>
    <row r="987" ht="15.75" customHeight="1" s="54"/>
    <row r="988" ht="15.75" customHeight="1" s="54"/>
    <row r="989" ht="15.75" customHeight="1" s="54"/>
    <row r="990" ht="15.75" customHeight="1" s="54"/>
    <row r="991" ht="15.75" customHeight="1" s="54"/>
    <row r="992" ht="15.75" customHeight="1" s="54"/>
    <row r="993" ht="15.75" customHeight="1" s="54"/>
    <row r="994" ht="15.75" customHeight="1" s="54"/>
    <row r="995" ht="15.75" customHeight="1" s="54"/>
    <row r="996" ht="15.75" customHeight="1" s="54"/>
    <row r="997" ht="15.75" customHeight="1" s="54"/>
    <row r="998" ht="15.75" customHeight="1" s="54"/>
    <row r="999" ht="15.75" customHeight="1" s="54"/>
    <row r="1000" ht="15.75" customHeight="1" s="54"/>
  </sheetData>
  <mergeCells count="3">
    <mergeCell ref="A2:I2"/>
    <mergeCell ref="A3:I3"/>
    <mergeCell ref="A1:H1"/>
  </mergeCells>
  <pageMargins left="0.75" right="0.75" top="1" bottom="1" header="0" footer="0"/>
  <pageSetup orientation="landscape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2026-03-24T06:14:12Z</dcterms:created>
  <dcterms:modified xsi:type="dcterms:W3CDTF">2026-03-24T06:28:13Z</dcterms:modified>
  <cp:lastModifiedBy>asus</cp:lastModifiedBy>
</cp:coreProperties>
</file>