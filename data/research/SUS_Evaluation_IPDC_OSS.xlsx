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articipant Profiles" sheetId="2" state="visible" r:id="rId2"/>
    <sheet name="SUS Raw Responses" sheetId="3" state="visible" r:id="rId3"/>
    <sheet name="SUS Score Calculation" sheetId="4" state="visible" r:id="rId4"/>
    <sheet name="Summary &amp; Results" sheetId="5" state="visible" r:id="rId5"/>
    <sheet name="Offline Experi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color rgb="00212121"/>
      <sz val="10"/>
    </font>
    <font>
      <name val="Calibri"/>
      <b val="1"/>
      <color rgb="001565C0"/>
      <sz val="10"/>
    </font>
    <font>
      <name val="Calibri"/>
      <b val="1"/>
      <color rgb="00212121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color rgb="001565C0"/>
      <sz val="10"/>
    </font>
    <font>
      <name val="Calibri"/>
      <color rgb="00F57F17"/>
      <sz val="10"/>
    </font>
    <font>
      <name val="Calibri"/>
      <b val="1"/>
      <color rgb="00F57F17"/>
      <sz val="10"/>
    </font>
    <font>
      <name val="Calibri"/>
      <color rgb="00BF360C"/>
      <sz val="10"/>
    </font>
    <font>
      <name val="Calibri"/>
      <b val="1"/>
      <color rgb="00BF360C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b val="1"/>
      <color rgb="00FFFFFF"/>
      <sz val="13"/>
    </font>
    <font>
      <name val="Calibri"/>
      <i val="1"/>
      <color rgb="00757575"/>
      <sz val="9"/>
    </font>
    <font>
      <name val="Calibri"/>
      <b val="1"/>
      <color rgb="00FFFFFF"/>
      <sz val="12"/>
    </font>
    <font>
      <name val="Calibri"/>
      <color rgb="00212121"/>
      <sz val="8"/>
    </font>
    <font>
      <name val="Calibri"/>
      <i val="1"/>
      <color rgb="00424242"/>
      <sz val="9"/>
    </font>
    <font>
      <name val="Calibri"/>
      <i val="1"/>
      <sz val="8"/>
    </font>
    <font>
      <name val="Calibri"/>
      <b val="1"/>
      <color rgb="00FFFFFF"/>
      <sz val="9"/>
    </font>
    <font>
      <name val="Calibri"/>
      <b val="1"/>
      <color rgb="00E65100"/>
      <sz val="11"/>
    </font>
    <font>
      <name val="Calibri"/>
      <b val="1"/>
      <color rgb="00212121"/>
      <sz val="11"/>
    </font>
    <font>
      <name val="Calibri"/>
      <b val="1"/>
      <color rgb="002E7D32"/>
      <sz val="12"/>
    </font>
    <font>
      <name val="Calibri"/>
      <b val="1"/>
      <color rgb="002E7D32"/>
      <sz val="11"/>
    </font>
  </fonts>
  <fills count="1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1976D2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1E88E5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E65100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5" borderId="1" pivotButton="0" quotePrefix="0" xfId="0"/>
    <xf numFmtId="0" fontId="6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 wrapText="1"/>
    </xf>
    <xf numFmtId="0" fontId="24" fillId="12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164" fontId="18" fillId="13" borderId="1" applyAlignment="1" pivotButton="0" quotePrefix="0" xfId="0">
      <alignment horizontal="center" vertical="center"/>
    </xf>
    <xf numFmtId="164" fontId="28" fillId="6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/>
    </xf>
    <xf numFmtId="0" fontId="19" fillId="0" borderId="0" pivotButton="0" quotePrefix="0" xfId="0"/>
    <xf numFmtId="0" fontId="1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49" fontId="3" fillId="11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2" fontId="20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SUS Scores per Participant — IPDC-OSS Platform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&amp; Results'!E2</f>
            </strRef>
          </tx>
          <spPr>
            <a:solidFill>
              <a:srgbClr val="1976D2"/>
            </a:solidFill>
            <a:ln>
              <a:prstDash val="solid"/>
            </a:ln>
          </spPr>
          <cat>
            <numRef>
              <f>'Summary &amp; Results'!$B$3:$B$11</f>
            </numRef>
          </cat>
          <val>
            <numRef>
              <f>'Summary &amp; Results'!$E$3:$E$11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Participant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70" customWidth="1" min="3" max="3"/>
    <col width="20" customWidth="1" min="4" max="4"/>
  </cols>
  <sheetData>
    <row r="1" ht="36" customHeight="1">
      <c r="A1" s="1" t="inlineStr">
        <is>
          <t>IPDC-OSS Platform — System Usability Scale (SUS) Evaluation Workbook</t>
        </is>
      </c>
    </row>
    <row r="2" ht="24" customHeight="1">
      <c r="A2" s="2" t="inlineStr">
        <is>
          <t>Usability Evaluation — 10 February 2026 | 9 Participants | Chapter 5</t>
        </is>
      </c>
    </row>
    <row r="4">
      <c r="A4" s="3" t="inlineStr">
        <is>
          <t>PURPOSE</t>
        </is>
      </c>
    </row>
    <row r="5" ht="48" customHeight="1">
      <c r="A5" s="4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>
      <c r="A7" s="3" t="inlineStr">
        <is>
          <t>WORKBOOK STRUCTURE</t>
        </is>
      </c>
    </row>
    <row r="8" ht="18" customHeight="1">
      <c r="B8" s="5" t="inlineStr">
        <is>
          <t>Instructions</t>
        </is>
      </c>
      <c r="C8" s="6" t="inlineStr">
        <is>
          <t>This sheet — purpose, SUS formula, scoring guide, role-differentiated task scenarios</t>
        </is>
      </c>
    </row>
    <row r="9" ht="18" customHeight="1">
      <c r="B9" s="5" t="inlineStr">
        <is>
          <t>Participant Profiles</t>
        </is>
      </c>
      <c r="C9" s="6" t="inlineStr">
        <is>
          <t>P1–P9 roles, parks, devices, and tenant company profile (investment type, sector)</t>
        </is>
      </c>
    </row>
    <row r="10" ht="18" customHeight="1">
      <c r="B10" s="5" t="inlineStr">
        <is>
          <t>SUS Raw Responses</t>
        </is>
      </c>
      <c r="C10" s="6" t="inlineStr">
        <is>
          <t>Raw 1–5 ratings for all 10 SUS items from each participant — FILL THIS IN</t>
        </is>
      </c>
    </row>
    <row r="11" ht="18" customHeight="1">
      <c r="B11" s="5" t="inlineStr">
        <is>
          <t>SUS Score Calculation</t>
        </is>
      </c>
      <c r="C11" s="6" t="inlineStr">
        <is>
          <t>Auto-calculated converted scores and final SUS score per participant</t>
        </is>
      </c>
    </row>
    <row r="12" ht="18" customHeight="1">
      <c r="B12" s="5" t="inlineStr">
        <is>
          <t>Summary &amp; Results</t>
        </is>
      </c>
      <c r="C12" s="6" t="inlineStr">
        <is>
          <t>Final scores, mean, interpretation, grade, and bar chart</t>
        </is>
      </c>
    </row>
    <row r="13" ht="18" customHeight="1">
      <c r="B13" s="5" t="inlineStr">
        <is>
          <t>Offline Experience</t>
        </is>
      </c>
      <c r="C13" s="6" t="inlineStr">
        <is>
          <t>Supplementary Q8b/Q19/Q20 responses — offline tasks attempted, confidence score, clarity</t>
        </is>
      </c>
    </row>
    <row r="15">
      <c r="A15" s="3" t="inlineStr">
        <is>
          <t>SUS SCORING FORMULA</t>
        </is>
      </c>
    </row>
    <row r="16" ht="18" customHeight="1">
      <c r="B16" s="7" t="inlineStr">
        <is>
          <t>Odd items — Positive (Q1,Q3,Q5,Q7,Q9):</t>
        </is>
      </c>
      <c r="C16" s="8" t="inlineStr">
        <is>
          <t>Converted score  =  Raw response  −  1</t>
        </is>
      </c>
    </row>
    <row r="17" ht="18" customHeight="1">
      <c r="B17" s="7" t="inlineStr">
        <is>
          <t>Even items — Negative (Q2,Q4,Q6,Q8,Q10):</t>
        </is>
      </c>
      <c r="C17" s="8" t="inlineStr">
        <is>
          <t>Converted score  =  5  −  Raw response</t>
        </is>
      </c>
    </row>
    <row r="18" ht="18" customHeight="1">
      <c r="B18" s="7" t="inlineStr">
        <is>
          <t>SUS Score:</t>
        </is>
      </c>
      <c r="C18" s="8" t="inlineStr">
        <is>
          <t>Sum of all 10 converted scores  ×  2.5</t>
        </is>
      </c>
    </row>
    <row r="19" ht="18" customHeight="1">
      <c r="B19" s="7" t="inlineStr">
        <is>
          <t>Scale:</t>
        </is>
      </c>
      <c r="C19" s="8" t="inlineStr">
        <is>
          <t>0 (worst)  →  100 (best)</t>
        </is>
      </c>
    </row>
    <row r="21">
      <c r="A21" s="3" t="inlineStr">
        <is>
          <t>SUS SCORE INTERPRETATION (Bangor et al. / Sauro)</t>
        </is>
      </c>
    </row>
    <row r="22" ht="16" customHeight="1">
      <c r="B22" s="9" t="inlineStr">
        <is>
          <t>&gt; 85.5</t>
        </is>
      </c>
      <c r="C22" s="10" t="inlineStr">
        <is>
          <t>A</t>
        </is>
      </c>
      <c r="D22" s="9" t="inlineStr">
        <is>
          <t>Excellent</t>
        </is>
      </c>
    </row>
    <row r="23" ht="16" customHeight="1">
      <c r="B23" s="11" t="inlineStr">
        <is>
          <t>72.6 – 85.5</t>
        </is>
      </c>
      <c r="C23" s="12" t="inlineStr">
        <is>
          <t>B</t>
        </is>
      </c>
      <c r="D23" s="11" t="inlineStr">
        <is>
          <t>Good</t>
        </is>
      </c>
    </row>
    <row r="24" ht="16" customHeight="1">
      <c r="B24" s="13" t="inlineStr">
        <is>
          <t>52.0 – 72.5</t>
        </is>
      </c>
      <c r="C24" s="14" t="inlineStr">
        <is>
          <t>C</t>
        </is>
      </c>
      <c r="D24" s="13" t="inlineStr">
        <is>
          <t>OK</t>
        </is>
      </c>
    </row>
    <row r="25" ht="16" customHeight="1">
      <c r="B25" s="15" t="inlineStr">
        <is>
          <t>51.7 – 51.9</t>
        </is>
      </c>
      <c r="C25" s="16" t="inlineStr">
        <is>
          <t>D</t>
        </is>
      </c>
      <c r="D25" s="15" t="inlineStr">
        <is>
          <t>Poor</t>
        </is>
      </c>
    </row>
    <row r="26" ht="16" customHeight="1">
      <c r="B26" s="17" t="inlineStr">
        <is>
          <t>&lt; 51.6</t>
        </is>
      </c>
      <c r="C26" s="18" t="inlineStr">
        <is>
          <t>F</t>
        </is>
      </c>
      <c r="D26" s="17" t="inlineStr">
        <is>
          <t>Awful</t>
        </is>
      </c>
    </row>
    <row r="28">
      <c r="A28" s="3" t="inlineStr">
        <is>
          <t>TASK SCENARIOS ADMINISTERED TO PARTICIPANTS</t>
        </is>
      </c>
    </row>
    <row r="29" ht="30" customHeight="1">
      <c r="B29" s="19" t="inlineStr">
        <is>
          <t>Task M1</t>
        </is>
      </c>
      <c r="C29" s="20" t="inlineStr">
        <is>
          <t>[Management] Review and process a service request</t>
        </is>
      </c>
      <c r="D29" s="21" t="inlineStr">
        <is>
          <t>Log in as Admin, open a pending service request, review the details, and approve or reject it with a stated reason.</t>
        </is>
      </c>
    </row>
    <row r="30" ht="30" customHeight="1">
      <c r="B30" s="19" t="inlineStr">
        <is>
          <t>Task M2</t>
        </is>
      </c>
      <c r="C30" s="20" t="inlineStr">
        <is>
          <t>[Management] Resolve a tenant complaint</t>
        </is>
      </c>
      <c r="D30" s="21" t="inlineStr">
        <is>
          <t>Navigate to Complaint Management, open a pending complaint, select a resolution action, add resolution notes, and confirm.</t>
        </is>
      </c>
    </row>
    <row r="31" ht="30" customHeight="1">
      <c r="B31" s="19" t="inlineStr">
        <is>
          <t>Task M3</t>
        </is>
      </c>
      <c r="C31" s="20" t="inlineStr">
        <is>
          <t>[Management] Publish a park-wide announcement</t>
        </is>
      </c>
      <c r="D31" s="21" t="inlineStr">
        <is>
          <t>Create a new announcement with a title, body text, and priority level, then publish it to all park users.</t>
        </is>
      </c>
    </row>
    <row r="32" ht="30" customHeight="1">
      <c r="B32" s="19" t="inlineStr">
        <is>
          <t>Task M4</t>
        </is>
      </c>
      <c r="C32" s="20" t="inlineStr">
        <is>
          <t>[Management] View request analytics dashboard</t>
        </is>
      </c>
      <c r="D32" s="21" t="inlineStr">
        <is>
          <t>Navigate to the admin dashboard and review the summary statistics, request counts by status, and charts.</t>
        </is>
      </c>
    </row>
    <row r="33" ht="30" customHeight="1">
      <c r="B33" s="19" t="inlineStr">
        <is>
          <t>Task T1</t>
        </is>
      </c>
      <c r="C33" s="20" t="inlineStr">
        <is>
          <t>[Tenant] Submit a new service request</t>
        </is>
      </c>
      <c r="D33" s="21" t="inlineStr">
        <is>
          <t>Log in as Tenant, select a service category, fill in the request details and priority, attach a document if available, and submit.</t>
        </is>
      </c>
    </row>
    <row r="34" ht="30" customHeight="1">
      <c r="B34" s="19" t="inlineStr">
        <is>
          <t>Task T2</t>
        </is>
      </c>
      <c r="C34" s="20" t="inlineStr">
        <is>
          <t>[Tenant] Check token balance and transaction history</t>
        </is>
      </c>
      <c r="D34" s="21" t="inlineStr">
        <is>
          <t>Locate the token section on the dashboard and review the current balance and the list of past transactions.</t>
        </is>
      </c>
    </row>
    <row r="35" ht="30" customHeight="1">
      <c r="B35" s="19" t="inlineStr">
        <is>
          <t>Task T3</t>
        </is>
      </c>
      <c r="C35" s="20" t="inlineStr">
        <is>
          <t>[Tenant] File a complaint on a completed service</t>
        </is>
      </c>
      <c r="D35" s="21" t="inlineStr">
        <is>
          <t>Navigate to My Complaints, select a completed request, choose a complaint category and severity, describe the issue, and submit.</t>
        </is>
      </c>
    </row>
    <row r="36" ht="30" customHeight="1">
      <c r="B36" s="19" t="inlineStr">
        <is>
          <t>Task T4</t>
        </is>
      </c>
      <c r="C36" s="20" t="inlineStr">
        <is>
          <t>[Tenant] Read an in-app bell notification</t>
        </is>
      </c>
      <c r="D36" s="21" t="inlineStr">
        <is>
          <t>Click the notification bell icon, open an unread notification, and confirm the message content.</t>
        </is>
      </c>
    </row>
    <row r="37" ht="30" customHeight="1">
      <c r="B37" s="19" t="inlineStr">
        <is>
          <t>Task O1</t>
        </is>
      </c>
      <c r="C37" s="20" t="inlineStr">
        <is>
          <t>[Operations] Accept a task from the approved queue</t>
        </is>
      </c>
      <c r="D37" s="21" t="inlineStr">
        <is>
          <t>Log in as Operations Staff, open the Approved Requests tab, select a request, and mark it as In Progress.</t>
        </is>
      </c>
    </row>
    <row r="38" ht="30" customHeight="1">
      <c r="B38" s="19" t="inlineStr">
        <is>
          <t>Task O2</t>
        </is>
      </c>
      <c r="C38" s="20" t="inlineStr">
        <is>
          <t>[Operations] Complete a task and confirm token deduction</t>
        </is>
      </c>
      <c r="D38" s="21" t="inlineStr">
        <is>
          <t>Mark an in-progress task as completed, confirm the token amount to deduct from the tenant, and submit.</t>
        </is>
      </c>
    </row>
    <row r="39" ht="30" customHeight="1">
      <c r="B39" s="19" t="inlineStr">
        <is>
          <t>Task O3</t>
        </is>
      </c>
      <c r="C39" s="20" t="inlineStr">
        <is>
          <t>[Operations] Review completed task history</t>
        </is>
      </c>
      <c r="D39" s="21" t="inlineStr">
        <is>
          <t>Navigate to the Completed tab and review the list of previously fulfilled tasks.</t>
        </is>
      </c>
    </row>
    <row r="40" ht="30" customHeight="1">
      <c r="B40" s="19" t="inlineStr">
        <is>
          <t>Task O4</t>
        </is>
      </c>
      <c r="C40" s="20" t="inlineStr">
        <is>
          <t>[Operations] Read a park announcement</t>
        </is>
      </c>
      <c r="D40" s="21" t="inlineStr">
        <is>
          <t>Open the Announcements tab in the Operations dashboard and read the latest park-wide notice.</t>
        </is>
      </c>
    </row>
    <row r="41" ht="30" customHeight="1">
      <c r="B41" s="19" t="inlineStr">
        <is>
          <t>Task X1</t>
        </is>
      </c>
      <c r="C41" s="20" t="inlineStr">
        <is>
          <t>[All Roles] Browse dashboard while offline</t>
        </is>
      </c>
      <c r="D41" s="21" t="inlineStr">
        <is>
          <t>Facilitator enables airplane mode. Participant navigates the dashboard and confirms data is still visible.</t>
        </is>
      </c>
    </row>
    <row r="42" ht="30" customHeight="1">
      <c r="B42" s="19" t="inlineStr">
        <is>
          <t>Task X2</t>
        </is>
      </c>
      <c r="C42" s="20" t="inlineStr">
        <is>
          <t>[All Roles] Submit a request or action while offline</t>
        </is>
      </c>
      <c r="D42" s="21" t="inlineStr">
        <is>
          <t>While offline, perform a key action (submit request / complete task). Confirm the item queues locally.</t>
        </is>
      </c>
    </row>
    <row r="43" ht="30" customHeight="1">
      <c r="B43" s="19" t="inlineStr">
        <is>
          <t>Task X3</t>
        </is>
      </c>
      <c r="C43" s="20" t="inlineStr">
        <is>
          <t>[All Roles] Offline re-login with cached credentials</t>
        </is>
      </c>
      <c r="D43" s="21" t="inlineStr">
        <is>
          <t>While offline, log out then log back in using the same credentials. Confirm the system authenticates from cache.</t>
        </is>
      </c>
    </row>
    <row r="44" ht="30" customHeight="1">
      <c r="B44" s="19" t="inlineStr">
        <is>
          <t>Task X4</t>
        </is>
      </c>
      <c r="C44" s="20" t="inlineStr">
        <is>
          <t>[All Roles] Sync confirmation on reconnection</t>
        </is>
      </c>
      <c r="D44" s="21" t="inlineStr">
        <is>
          <t>Facilitator restores network. Participant confirms the sync banner appears and queued items are uploaded.</t>
        </is>
      </c>
    </row>
    <row r="46" ht="36" customHeight="1">
      <c r="A46" s="22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</row>
  </sheetData>
  <mergeCells count="41">
    <mergeCell ref="A5:D5"/>
    <mergeCell ref="B9"/>
    <mergeCell ref="A4:D4"/>
    <mergeCell ref="D30"/>
    <mergeCell ref="D39"/>
    <mergeCell ref="D33"/>
    <mergeCell ref="D42"/>
    <mergeCell ref="D38"/>
    <mergeCell ref="A28:D28"/>
    <mergeCell ref="C18:D18"/>
    <mergeCell ref="D29"/>
    <mergeCell ref="D35"/>
    <mergeCell ref="C10:D10"/>
    <mergeCell ref="C16:D16"/>
    <mergeCell ref="D44"/>
    <mergeCell ref="A15:D15"/>
    <mergeCell ref="D34"/>
    <mergeCell ref="C9:D9"/>
    <mergeCell ref="D31"/>
    <mergeCell ref="A1:D1"/>
    <mergeCell ref="C12:D12"/>
    <mergeCell ref="D40"/>
    <mergeCell ref="B12"/>
    <mergeCell ref="D36"/>
    <mergeCell ref="C11:D11"/>
    <mergeCell ref="B11"/>
    <mergeCell ref="A7:D7"/>
    <mergeCell ref="C17:D17"/>
    <mergeCell ref="A46:D46"/>
    <mergeCell ref="C8:D8"/>
    <mergeCell ref="D41"/>
    <mergeCell ref="B8"/>
    <mergeCell ref="D32"/>
    <mergeCell ref="B13"/>
    <mergeCell ref="C19:D19"/>
    <mergeCell ref="A21:D21"/>
    <mergeCell ref="D43"/>
    <mergeCell ref="B10"/>
    <mergeCell ref="A2:D2"/>
    <mergeCell ref="C13:D13"/>
    <mergeCell ref="D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8" customWidth="1" min="3" max="3"/>
    <col width="22" customWidth="1" min="4" max="4"/>
    <col width="20" customWidth="1" min="5" max="5"/>
    <col width="16" customWidth="1" min="6" max="6"/>
    <col width="20" customWidth="1" min="7" max="7"/>
    <col width="20" customWidth="1" min="8" max="8"/>
  </cols>
  <sheetData>
    <row r="1" ht="32" customHeight="1">
      <c r="A1" s="23" t="inlineStr">
        <is>
          <t>Usability Evaluation — Participant Profiles (10 February 2026)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Industrial Park / SEZ</t>
        </is>
      </c>
      <c r="E2" s="24" t="inlineStr">
        <is>
          <t>Device Used</t>
        </is>
      </c>
      <c r="F2" s="24" t="inlineStr">
        <is>
          <t>Date</t>
        </is>
      </c>
      <c r="G2" s="24" t="inlineStr">
        <is>
          <t>Investment Type *</t>
        </is>
      </c>
      <c r="H2" s="24" t="inlineStr">
        <is>
          <t>Industry Sector *</t>
        </is>
      </c>
    </row>
    <row r="3" ht="18" customHeight="1">
      <c r="A3" s="25" t="n">
        <v>1</v>
      </c>
      <c r="B3" s="25" t="inlineStr">
        <is>
          <t>P1</t>
        </is>
      </c>
      <c r="C3" s="25" t="inlineStr">
        <is>
          <t>IPDC Management Staff</t>
        </is>
      </c>
      <c r="D3" s="25" t="inlineStr">
        <is>
          <t>Headquarters</t>
        </is>
      </c>
      <c r="E3" s="25" t="inlineStr">
        <is>
          <t>Laptop (Chrome)</t>
        </is>
      </c>
      <c r="F3" s="25" t="inlineStr">
        <is>
          <t>10 Feb 2026</t>
        </is>
      </c>
      <c r="G3" s="25" t="inlineStr">
        <is>
          <t>—</t>
        </is>
      </c>
      <c r="H3" s="25" t="inlineStr">
        <is>
          <t>—</t>
        </is>
      </c>
    </row>
    <row r="4" ht="18" customHeight="1">
      <c r="A4" s="26" t="n">
        <v>2</v>
      </c>
      <c r="B4" s="26" t="inlineStr">
        <is>
          <t>P2</t>
        </is>
      </c>
      <c r="C4" s="26" t="inlineStr">
        <is>
          <t>IPDC Management Staff</t>
        </is>
      </c>
      <c r="D4" s="26" t="inlineStr">
        <is>
          <t>Bole Lemi SEZ</t>
        </is>
      </c>
      <c r="E4" s="26" t="inlineStr">
        <is>
          <t>Desktop (Chrome)</t>
        </is>
      </c>
      <c r="F4" s="26" t="inlineStr">
        <is>
          <t>10 Feb 2026</t>
        </is>
      </c>
      <c r="G4" s="26" t="inlineStr">
        <is>
          <t>—</t>
        </is>
      </c>
      <c r="H4" s="26" t="inlineStr">
        <is>
          <t>—</t>
        </is>
      </c>
    </row>
    <row r="5" ht="18" customHeight="1">
      <c r="A5" s="25" t="n">
        <v>3</v>
      </c>
      <c r="B5" s="25" t="inlineStr">
        <is>
          <t>P3</t>
        </is>
      </c>
      <c r="C5" s="25" t="inlineStr">
        <is>
          <t>IPDC Management Staff</t>
        </is>
      </c>
      <c r="D5" s="25" t="inlineStr">
        <is>
          <t>Hawassa SEZ</t>
        </is>
      </c>
      <c r="E5" s="25" t="inlineStr">
        <is>
          <t>Laptop (Opera)</t>
        </is>
      </c>
      <c r="F5" s="25" t="inlineStr">
        <is>
          <t>10 Feb 2026</t>
        </is>
      </c>
      <c r="G5" s="25" t="inlineStr">
        <is>
          <t>—</t>
        </is>
      </c>
      <c r="H5" s="25" t="inlineStr">
        <is>
          <t>—</t>
        </is>
      </c>
    </row>
    <row r="6" ht="18" customHeight="1">
      <c r="A6" s="26" t="n">
        <v>4</v>
      </c>
      <c r="B6" s="26" t="inlineStr">
        <is>
          <t>P4</t>
        </is>
      </c>
      <c r="C6" s="26" t="inlineStr">
        <is>
          <t>Tenant Representative</t>
        </is>
      </c>
      <c r="D6" s="26" t="inlineStr">
        <is>
          <t>Hawassa SEZ</t>
        </is>
      </c>
      <c r="E6" s="26" t="inlineStr">
        <is>
          <t>Smartphone (Chrome)</t>
        </is>
      </c>
      <c r="F6" s="26" t="inlineStr">
        <is>
          <t>10 Feb 2026</t>
        </is>
      </c>
      <c r="G6" s="26" t="inlineStr">
        <is>
          <t>Foreign-invested</t>
        </is>
      </c>
      <c r="H6" s="26" t="inlineStr">
        <is>
          <t>Garment &amp; Textile</t>
        </is>
      </c>
    </row>
    <row r="7" ht="18" customHeight="1">
      <c r="A7" s="25" t="n">
        <v>5</v>
      </c>
      <c r="B7" s="25" t="inlineStr">
        <is>
          <t>P5</t>
        </is>
      </c>
      <c r="C7" s="25" t="inlineStr">
        <is>
          <t>Tenant Representative</t>
        </is>
      </c>
      <c r="D7" s="25" t="inlineStr">
        <is>
          <t>Adama SEZ</t>
        </is>
      </c>
      <c r="E7" s="25" t="inlineStr">
        <is>
          <t>Smartphone (Opera)</t>
        </is>
      </c>
      <c r="F7" s="25" t="inlineStr">
        <is>
          <t>10 Feb 2026</t>
        </is>
      </c>
      <c r="G7" s="25" t="inlineStr">
        <is>
          <t>Local (Ethiopian)</t>
        </is>
      </c>
      <c r="H7" s="25" t="inlineStr">
        <is>
          <t>Agro-processing &amp; Food</t>
        </is>
      </c>
    </row>
    <row r="8" ht="18" customHeight="1">
      <c r="A8" s="26" t="n">
        <v>6</v>
      </c>
      <c r="B8" s="26" t="inlineStr">
        <is>
          <t>P6</t>
        </is>
      </c>
      <c r="C8" s="26" t="inlineStr">
        <is>
          <t>Tenant Representative</t>
        </is>
      </c>
      <c r="D8" s="26" t="inlineStr">
        <is>
          <t>Bole Lemi SEZ</t>
        </is>
      </c>
      <c r="E8" s="26" t="inlineStr">
        <is>
          <t>Laptop (Chrome)</t>
        </is>
      </c>
      <c r="F8" s="26" t="inlineStr">
        <is>
          <t>10 Feb 2026</t>
        </is>
      </c>
      <c r="G8" s="26" t="inlineStr">
        <is>
          <t>Joint Venture</t>
        </is>
      </c>
      <c r="H8" s="26" t="inlineStr">
        <is>
          <t>Light Manufacturing</t>
        </is>
      </c>
    </row>
    <row r="9" ht="18" customHeight="1">
      <c r="A9" s="25" t="n">
        <v>7</v>
      </c>
      <c r="B9" s="25" t="inlineStr">
        <is>
          <t>P7</t>
        </is>
      </c>
      <c r="C9" s="25" t="inlineStr">
        <is>
          <t>Operations Staff</t>
        </is>
      </c>
      <c r="D9" s="25" t="inlineStr">
        <is>
          <t>Bole Lemi SEZ</t>
        </is>
      </c>
      <c r="E9" s="25" t="inlineStr">
        <is>
          <t>Smartphone (Chrome)</t>
        </is>
      </c>
      <c r="F9" s="25" t="inlineStr">
        <is>
          <t>10 Feb 2026</t>
        </is>
      </c>
      <c r="G9" s="25" t="inlineStr">
        <is>
          <t>—</t>
        </is>
      </c>
      <c r="H9" s="25" t="inlineStr">
        <is>
          <t>—</t>
        </is>
      </c>
    </row>
    <row r="10" ht="18" customHeight="1">
      <c r="A10" s="26" t="n">
        <v>8</v>
      </c>
      <c r="B10" s="26" t="inlineStr">
        <is>
          <t>P8</t>
        </is>
      </c>
      <c r="C10" s="26" t="inlineStr">
        <is>
          <t>Operations Staff</t>
        </is>
      </c>
      <c r="D10" s="26" t="inlineStr">
        <is>
          <t>Hawassa SEZ</t>
        </is>
      </c>
      <c r="E10" s="26" t="inlineStr">
        <is>
          <t>Smartphone (Opera)</t>
        </is>
      </c>
      <c r="F10" s="26" t="inlineStr">
        <is>
          <t>10 Feb 2026</t>
        </is>
      </c>
      <c r="G10" s="26" t="inlineStr">
        <is>
          <t>—</t>
        </is>
      </c>
      <c r="H10" s="26" t="inlineStr">
        <is>
          <t>—</t>
        </is>
      </c>
    </row>
    <row r="11" ht="18" customHeight="1">
      <c r="A11" s="25" t="n">
        <v>9</v>
      </c>
      <c r="B11" s="25" t="inlineStr">
        <is>
          <t>P9</t>
        </is>
      </c>
      <c r="C11" s="25" t="inlineStr">
        <is>
          <t>Operations Staff</t>
        </is>
      </c>
      <c r="D11" s="25" t="inlineStr">
        <is>
          <t>Adama SEZ</t>
        </is>
      </c>
      <c r="E11" s="25" t="inlineStr">
        <is>
          <t>Smartphone (Chrome)</t>
        </is>
      </c>
      <c r="F11" s="25" t="inlineStr">
        <is>
          <t>10 Feb 2026</t>
        </is>
      </c>
      <c r="G11" s="25" t="inlineStr">
        <is>
          <t>—</t>
        </is>
      </c>
      <c r="H11" s="25" t="inlineStr">
        <is>
          <t>—</t>
        </is>
      </c>
    </row>
    <row r="13">
      <c r="A13" s="27" t="inlineStr">
        <is>
          <t>Note: Participant IDs (P1–P9) are pseudonymised. * Investment Type and Sector apply to Tenant Representatives (P4–P6) only. Signed consent forms are held by the researcher and available on request.</t>
        </is>
      </c>
    </row>
  </sheetData>
  <mergeCells count="2"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30" customHeight="1">
      <c r="A1" s="28" t="inlineStr">
        <is>
          <t>SUS Raw Responses — Enter each participant's 1–5 rating for every question</t>
        </is>
      </c>
    </row>
    <row r="2" ht="18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19" t="inlineStr">
        <is>
          <t>Q1</t>
        </is>
      </c>
      <c r="E2" s="29" t="inlineStr">
        <is>
          <t>Q2</t>
        </is>
      </c>
      <c r="F2" s="19" t="inlineStr">
        <is>
          <t>Q3</t>
        </is>
      </c>
      <c r="G2" s="29" t="inlineStr">
        <is>
          <t>Q4</t>
        </is>
      </c>
      <c r="H2" s="19" t="inlineStr">
        <is>
          <t>Q5</t>
        </is>
      </c>
      <c r="I2" s="29" t="inlineStr">
        <is>
          <t>Q6</t>
        </is>
      </c>
      <c r="J2" s="19" t="inlineStr">
        <is>
          <t>Q7</t>
        </is>
      </c>
      <c r="K2" s="29" t="inlineStr">
        <is>
          <t>Q8</t>
        </is>
      </c>
      <c r="L2" s="19" t="inlineStr">
        <is>
          <t>Q9</t>
        </is>
      </c>
      <c r="M2" s="29" t="inlineStr">
        <is>
          <t>Q10</t>
        </is>
      </c>
    </row>
    <row r="3" ht="60" customHeight="1">
      <c r="D3" s="30" t="inlineStr">
        <is>
          <t>I think that I would like to use this system frequently.</t>
        </is>
      </c>
      <c r="E3" s="31" t="inlineStr">
        <is>
          <t>I found the system unnecessarily complex.</t>
        </is>
      </c>
      <c r="F3" s="30" t="inlineStr">
        <is>
          <t>I thought the system was easy to use.</t>
        </is>
      </c>
      <c r="G3" s="31" t="inlineStr">
        <is>
          <t>I think that I would need the support of a technical person …</t>
        </is>
      </c>
      <c r="H3" s="30" t="inlineStr">
        <is>
          <t>I found the various functions in this system were well integ…</t>
        </is>
      </c>
      <c r="I3" s="31" t="inlineStr">
        <is>
          <t>I thought there was too much inconsistency in this system.</t>
        </is>
      </c>
      <c r="J3" s="30" t="inlineStr">
        <is>
          <t>I would imagine that most people would learn to use this sys…</t>
        </is>
      </c>
      <c r="K3" s="31" t="inlineStr">
        <is>
          <t>I found the system very cumbersome to use.</t>
        </is>
      </c>
      <c r="L3" s="30" t="inlineStr">
        <is>
          <t>I felt very confident using the system.</t>
        </is>
      </c>
      <c r="M3" s="31" t="inlineStr">
        <is>
          <t>I needed to learn a lot of things before I could get going w…</t>
        </is>
      </c>
    </row>
    <row r="4" ht="16" customHeight="1">
      <c r="A4" s="32" t="inlineStr">
        <is>
          <t>Scale:  1 = Strongly Disagree    2 = Disagree    3 = Neutral    4 = Agree    5 = Strongly Agree</t>
        </is>
      </c>
      <c r="D4" s="33" t="inlineStr">
        <is>
          <t>Blue=Positive  Orange=Negative</t>
        </is>
      </c>
      <c r="E4" s="33" t="inlineStr"/>
      <c r="F4" s="33" t="inlineStr"/>
      <c r="G4" s="33" t="inlineStr"/>
      <c r="H4" s="33" t="inlineStr"/>
      <c r="I4" s="33" t="inlineStr"/>
      <c r="J4" s="33" t="inlineStr"/>
      <c r="K4" s="33" t="inlineStr"/>
      <c r="L4" s="33" t="inlineStr"/>
      <c r="M4" s="33" t="inlineStr"/>
    </row>
    <row r="5" ht="20" customHeight="1">
      <c r="A5" s="25" t="n">
        <v>1</v>
      </c>
      <c r="B5" s="34" t="inlineStr">
        <is>
          <t>P1</t>
        </is>
      </c>
      <c r="C5" s="25" t="inlineStr">
        <is>
          <t>IPDC Management Staff</t>
        </is>
      </c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</row>
    <row r="6" ht="20" customHeight="1">
      <c r="A6" s="26" t="n">
        <v>2</v>
      </c>
      <c r="B6" s="36" t="inlineStr">
        <is>
          <t>P2</t>
        </is>
      </c>
      <c r="C6" s="26" t="inlineStr">
        <is>
          <t>IPDC Management Staff</t>
        </is>
      </c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</row>
    <row r="7" ht="20" customHeight="1">
      <c r="A7" s="25" t="n">
        <v>3</v>
      </c>
      <c r="B7" s="34" t="inlineStr">
        <is>
          <t>P3</t>
        </is>
      </c>
      <c r="C7" s="25" t="inlineStr">
        <is>
          <t>IPDC Management Staff</t>
        </is>
      </c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</row>
    <row r="8" ht="20" customHeight="1">
      <c r="A8" s="26" t="n">
        <v>4</v>
      </c>
      <c r="B8" s="36" t="inlineStr">
        <is>
          <t>P4</t>
        </is>
      </c>
      <c r="C8" s="26" t="inlineStr">
        <is>
          <t>Tenant Representative</t>
        </is>
      </c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</row>
    <row r="9" ht="20" customHeight="1">
      <c r="A9" s="25" t="n">
        <v>5</v>
      </c>
      <c r="B9" s="34" t="inlineStr">
        <is>
          <t>P5</t>
        </is>
      </c>
      <c r="C9" s="25" t="inlineStr">
        <is>
          <t>Tenant Representative</t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</row>
    <row r="10" ht="20" customHeight="1">
      <c r="A10" s="26" t="n">
        <v>6</v>
      </c>
      <c r="B10" s="36" t="inlineStr">
        <is>
          <t>P6</t>
        </is>
      </c>
      <c r="C10" s="26" t="inlineStr">
        <is>
          <t>Tenant Representative</t>
        </is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</row>
    <row r="11" ht="20" customHeight="1">
      <c r="A11" s="25" t="n">
        <v>7</v>
      </c>
      <c r="B11" s="34" t="inlineStr">
        <is>
          <t>P7</t>
        </is>
      </c>
      <c r="C11" s="25" t="inlineStr">
        <is>
          <t>Operations Staff</t>
        </is>
      </c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</row>
    <row r="12" ht="20" customHeight="1">
      <c r="A12" s="26" t="n">
        <v>8</v>
      </c>
      <c r="B12" s="36" t="inlineStr">
        <is>
          <t>P8</t>
        </is>
      </c>
      <c r="C12" s="26" t="inlineStr">
        <is>
          <t>Operations Staff</t>
        </is>
      </c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</row>
    <row r="13" ht="20" customHeight="1">
      <c r="A13" s="25" t="n">
        <v>9</v>
      </c>
      <c r="B13" s="34" t="inlineStr">
        <is>
          <t>P9</t>
        </is>
      </c>
      <c r="C13" s="25" t="inlineStr">
        <is>
          <t>Operations Staff</t>
        </is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</row>
    <row r="15" ht="30" customHeight="1">
      <c r="A15" s="22" t="inlineStr">
        <is>
          <t>⚠  Fill in each cell with the participant's actual response (integer 1–5). Leave blank cells as blank — do not enter 0. Scores in 'SUS Score Calculation' update automatically.</t>
        </is>
      </c>
    </row>
  </sheetData>
  <mergeCells count="6">
    <mergeCell ref="A1:M1"/>
    <mergeCell ref="B2:B3"/>
    <mergeCell ref="A2:A3"/>
    <mergeCell ref="A15:M15"/>
    <mergeCell ref="C2:C3"/>
    <mergeCell ref="A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4" customWidth="1" min="15" max="15"/>
  </cols>
  <sheetData>
    <row r="1" ht="30" customHeight="1">
      <c r="A1" s="28" t="inlineStr">
        <is>
          <t>SUS Score Calculation — Converted Scores and Final SUS Score (Auto-calculated)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37" t="inlineStr">
        <is>
          <t>Q1 Conv.</t>
        </is>
      </c>
      <c r="E2" s="38" t="inlineStr">
        <is>
          <t>Q2 Conv.</t>
        </is>
      </c>
      <c r="F2" s="37" t="inlineStr">
        <is>
          <t>Q3 Conv.</t>
        </is>
      </c>
      <c r="G2" s="38" t="inlineStr">
        <is>
          <t>Q4 Conv.</t>
        </is>
      </c>
      <c r="H2" s="37" t="inlineStr">
        <is>
          <t>Q5 Conv.</t>
        </is>
      </c>
      <c r="I2" s="38" t="inlineStr">
        <is>
          <t>Q6 Conv.</t>
        </is>
      </c>
      <c r="J2" s="37" t="inlineStr">
        <is>
          <t>Q7 Conv.</t>
        </is>
      </c>
      <c r="K2" s="38" t="inlineStr">
        <is>
          <t>Q8 Conv.</t>
        </is>
      </c>
      <c r="L2" s="37" t="inlineStr">
        <is>
          <t>Q9 Conv.</t>
        </is>
      </c>
      <c r="M2" s="38" t="inlineStr">
        <is>
          <t>Q10 Conv.</t>
        </is>
      </c>
      <c r="N2" s="24" t="inlineStr">
        <is>
          <t>Raw Sum</t>
        </is>
      </c>
      <c r="O2" s="24" t="inlineStr">
        <is>
          <t>SUS Score</t>
        </is>
      </c>
    </row>
    <row r="3" ht="18" customHeight="1">
      <c r="A3" s="39" t="n"/>
      <c r="B3" s="39" t="n"/>
      <c r="C3" s="39" t="n"/>
      <c r="D3" s="40" t="inlineStr">
        <is>
          <t>R−1</t>
        </is>
      </c>
      <c r="E3" s="41" t="inlineStr">
        <is>
          <t>5−R</t>
        </is>
      </c>
      <c r="F3" s="40" t="inlineStr">
        <is>
          <t>R−1</t>
        </is>
      </c>
      <c r="G3" s="41" t="inlineStr">
        <is>
          <t>5−R</t>
        </is>
      </c>
      <c r="H3" s="40" t="inlineStr">
        <is>
          <t>R−1</t>
        </is>
      </c>
      <c r="I3" s="41" t="inlineStr">
        <is>
          <t>5−R</t>
        </is>
      </c>
      <c r="J3" s="40" t="inlineStr">
        <is>
          <t>R−1</t>
        </is>
      </c>
      <c r="K3" s="41" t="inlineStr">
        <is>
          <t>5−R</t>
        </is>
      </c>
      <c r="L3" s="40" t="inlineStr">
        <is>
          <t>R−1</t>
        </is>
      </c>
      <c r="M3" s="41" t="inlineStr">
        <is>
          <t>5−R</t>
        </is>
      </c>
      <c r="N3" s="39" t="inlineStr">
        <is>
          <t>(max 40)</t>
        </is>
      </c>
      <c r="O3" s="39" t="inlineStr">
        <is>
          <t>Sum × 2.5</t>
        </is>
      </c>
    </row>
    <row r="4" ht="20" customHeight="1">
      <c r="A4" s="25" t="n">
        <v>1</v>
      </c>
      <c r="B4" s="34" t="inlineStr">
        <is>
          <t>P1</t>
        </is>
      </c>
      <c r="C4" s="25" t="inlineStr">
        <is>
          <t>IPDC Management Staff</t>
        </is>
      </c>
      <c r="D4" s="35">
        <f>IF('SUS Raw Responses'!D5="","",'SUS Raw Responses'!D5-1)</f>
        <v/>
      </c>
      <c r="E4" s="42">
        <f>IF('SUS Raw Responses'!E5="","",5-'SUS Raw Responses'!E5)</f>
        <v/>
      </c>
      <c r="F4" s="35">
        <f>IF('SUS Raw Responses'!F5="","",'SUS Raw Responses'!F5-1)</f>
        <v/>
      </c>
      <c r="G4" s="42">
        <f>IF('SUS Raw Responses'!G5="","",5-'SUS Raw Responses'!G5)</f>
        <v/>
      </c>
      <c r="H4" s="35">
        <f>IF('SUS Raw Responses'!H5="","",'SUS Raw Responses'!H5-1)</f>
        <v/>
      </c>
      <c r="I4" s="42">
        <f>IF('SUS Raw Responses'!I5="","",5-'SUS Raw Responses'!I5)</f>
        <v/>
      </c>
      <c r="J4" s="35">
        <f>IF('SUS Raw Responses'!J5="","",'SUS Raw Responses'!J5-1)</f>
        <v/>
      </c>
      <c r="K4" s="42">
        <f>IF('SUS Raw Responses'!K5="","",5-'SUS Raw Responses'!K5)</f>
        <v/>
      </c>
      <c r="L4" s="35">
        <f>IF('SUS Raw Responses'!L5="","",'SUS Raw Responses'!L5-1)</f>
        <v/>
      </c>
      <c r="M4" s="42">
        <f>IF('SUS Raw Responses'!M5="","",5-'SUS Raw Responses'!M5)</f>
        <v/>
      </c>
      <c r="N4" s="43">
        <f>IF(COUNTA(D4,E4,F4,G4,H4,I4,J4,K4,L4,M4)=10,SUM(D4,E4,F4,G4,H4,I4,J4,K4,L4,M4),"")</f>
        <v/>
      </c>
      <c r="O4" s="44">
        <f>IF(N4="","",N4*2.5)</f>
        <v/>
      </c>
    </row>
    <row r="5" ht="20" customHeight="1">
      <c r="A5" s="26" t="n">
        <v>2</v>
      </c>
      <c r="B5" s="36" t="inlineStr">
        <is>
          <t>P2</t>
        </is>
      </c>
      <c r="C5" s="26" t="inlineStr">
        <is>
          <t>IPDC Management Staff</t>
        </is>
      </c>
      <c r="D5" s="45">
        <f>IF('SUS Raw Responses'!D6="","",'SUS Raw Responses'!D6-1)</f>
        <v/>
      </c>
      <c r="E5" s="46">
        <f>IF('SUS Raw Responses'!E6="","",5-'SUS Raw Responses'!E6)</f>
        <v/>
      </c>
      <c r="F5" s="45">
        <f>IF('SUS Raw Responses'!F6="","",'SUS Raw Responses'!F6-1)</f>
        <v/>
      </c>
      <c r="G5" s="46">
        <f>IF('SUS Raw Responses'!G6="","",5-'SUS Raw Responses'!G6)</f>
        <v/>
      </c>
      <c r="H5" s="45">
        <f>IF('SUS Raw Responses'!H6="","",'SUS Raw Responses'!H6-1)</f>
        <v/>
      </c>
      <c r="I5" s="46">
        <f>IF('SUS Raw Responses'!I6="","",5-'SUS Raw Responses'!I6)</f>
        <v/>
      </c>
      <c r="J5" s="45">
        <f>IF('SUS Raw Responses'!J6="","",'SUS Raw Responses'!J6-1)</f>
        <v/>
      </c>
      <c r="K5" s="46">
        <f>IF('SUS Raw Responses'!K6="","",5-'SUS Raw Responses'!K6)</f>
        <v/>
      </c>
      <c r="L5" s="45">
        <f>IF('SUS Raw Responses'!L6="","",'SUS Raw Responses'!L6-1)</f>
        <v/>
      </c>
      <c r="M5" s="46">
        <f>IF('SUS Raw Responses'!M6="","",5-'SUS Raw Responses'!M6)</f>
        <v/>
      </c>
      <c r="N5" s="43">
        <f>IF(COUNTA(D5,E5,F5,G5,H5,I5,J5,K5,L5,M5)=10,SUM(D5,E5,F5,G5,H5,I5,J5,K5,L5,M5),"")</f>
        <v/>
      </c>
      <c r="O5" s="44">
        <f>IF(N5="","",N5*2.5)</f>
        <v/>
      </c>
    </row>
    <row r="6" ht="20" customHeight="1">
      <c r="A6" s="25" t="n">
        <v>3</v>
      </c>
      <c r="B6" s="34" t="inlineStr">
        <is>
          <t>P3</t>
        </is>
      </c>
      <c r="C6" s="25" t="inlineStr">
        <is>
          <t>IPDC Management Staff</t>
        </is>
      </c>
      <c r="D6" s="35">
        <f>IF('SUS Raw Responses'!D7="","",'SUS Raw Responses'!D7-1)</f>
        <v/>
      </c>
      <c r="E6" s="42">
        <f>IF('SUS Raw Responses'!E7="","",5-'SUS Raw Responses'!E7)</f>
        <v/>
      </c>
      <c r="F6" s="35">
        <f>IF('SUS Raw Responses'!F7="","",'SUS Raw Responses'!F7-1)</f>
        <v/>
      </c>
      <c r="G6" s="42">
        <f>IF('SUS Raw Responses'!G7="","",5-'SUS Raw Responses'!G7)</f>
        <v/>
      </c>
      <c r="H6" s="35">
        <f>IF('SUS Raw Responses'!H7="","",'SUS Raw Responses'!H7-1)</f>
        <v/>
      </c>
      <c r="I6" s="42">
        <f>IF('SUS Raw Responses'!I7="","",5-'SUS Raw Responses'!I7)</f>
        <v/>
      </c>
      <c r="J6" s="35">
        <f>IF('SUS Raw Responses'!J7="","",'SUS Raw Responses'!J7-1)</f>
        <v/>
      </c>
      <c r="K6" s="42">
        <f>IF('SUS Raw Responses'!K7="","",5-'SUS Raw Responses'!K7)</f>
        <v/>
      </c>
      <c r="L6" s="35">
        <f>IF('SUS Raw Responses'!L7="","",'SUS Raw Responses'!L7-1)</f>
        <v/>
      </c>
      <c r="M6" s="42">
        <f>IF('SUS Raw Responses'!M7="","",5-'SUS Raw Responses'!M7)</f>
        <v/>
      </c>
      <c r="N6" s="43">
        <f>IF(COUNTA(D6,E6,F6,G6,H6,I6,J6,K6,L6,M6)=10,SUM(D6,E6,F6,G6,H6,I6,J6,K6,L6,M6),"")</f>
        <v/>
      </c>
      <c r="O6" s="44">
        <f>IF(N6="","",N6*2.5)</f>
        <v/>
      </c>
    </row>
    <row r="7" ht="20" customHeight="1">
      <c r="A7" s="26" t="n">
        <v>4</v>
      </c>
      <c r="B7" s="36" t="inlineStr">
        <is>
          <t>P4</t>
        </is>
      </c>
      <c r="C7" s="26" t="inlineStr">
        <is>
          <t>Tenant Representative</t>
        </is>
      </c>
      <c r="D7" s="45">
        <f>IF('SUS Raw Responses'!D8="","",'SUS Raw Responses'!D8-1)</f>
        <v/>
      </c>
      <c r="E7" s="46">
        <f>IF('SUS Raw Responses'!E8="","",5-'SUS Raw Responses'!E8)</f>
        <v/>
      </c>
      <c r="F7" s="45">
        <f>IF('SUS Raw Responses'!F8="","",'SUS Raw Responses'!F8-1)</f>
        <v/>
      </c>
      <c r="G7" s="46">
        <f>IF('SUS Raw Responses'!G8="","",5-'SUS Raw Responses'!G8)</f>
        <v/>
      </c>
      <c r="H7" s="45">
        <f>IF('SUS Raw Responses'!H8="","",'SUS Raw Responses'!H8-1)</f>
        <v/>
      </c>
      <c r="I7" s="46">
        <f>IF('SUS Raw Responses'!I8="","",5-'SUS Raw Responses'!I8)</f>
        <v/>
      </c>
      <c r="J7" s="45">
        <f>IF('SUS Raw Responses'!J8="","",'SUS Raw Responses'!J8-1)</f>
        <v/>
      </c>
      <c r="K7" s="46">
        <f>IF('SUS Raw Responses'!K8="","",5-'SUS Raw Responses'!K8)</f>
        <v/>
      </c>
      <c r="L7" s="45">
        <f>IF('SUS Raw Responses'!L8="","",'SUS Raw Responses'!L8-1)</f>
        <v/>
      </c>
      <c r="M7" s="46">
        <f>IF('SUS Raw Responses'!M8="","",5-'SUS Raw Responses'!M8)</f>
        <v/>
      </c>
      <c r="N7" s="43">
        <f>IF(COUNTA(D7,E7,F7,G7,H7,I7,J7,K7,L7,M7)=10,SUM(D7,E7,F7,G7,H7,I7,J7,K7,L7,M7),"")</f>
        <v/>
      </c>
      <c r="O7" s="44">
        <f>IF(N7="","",N7*2.5)</f>
        <v/>
      </c>
    </row>
    <row r="8" ht="20" customHeight="1">
      <c r="A8" s="25" t="n">
        <v>5</v>
      </c>
      <c r="B8" s="34" t="inlineStr">
        <is>
          <t>P5</t>
        </is>
      </c>
      <c r="C8" s="25" t="inlineStr">
        <is>
          <t>Tenant Representative</t>
        </is>
      </c>
      <c r="D8" s="35">
        <f>IF('SUS Raw Responses'!D9="","",'SUS Raw Responses'!D9-1)</f>
        <v/>
      </c>
      <c r="E8" s="42">
        <f>IF('SUS Raw Responses'!E9="","",5-'SUS Raw Responses'!E9)</f>
        <v/>
      </c>
      <c r="F8" s="35">
        <f>IF('SUS Raw Responses'!F9="","",'SUS Raw Responses'!F9-1)</f>
        <v/>
      </c>
      <c r="G8" s="42">
        <f>IF('SUS Raw Responses'!G9="","",5-'SUS Raw Responses'!G9)</f>
        <v/>
      </c>
      <c r="H8" s="35">
        <f>IF('SUS Raw Responses'!H9="","",'SUS Raw Responses'!H9-1)</f>
        <v/>
      </c>
      <c r="I8" s="42">
        <f>IF('SUS Raw Responses'!I9="","",5-'SUS Raw Responses'!I9)</f>
        <v/>
      </c>
      <c r="J8" s="35">
        <f>IF('SUS Raw Responses'!J9="","",'SUS Raw Responses'!J9-1)</f>
        <v/>
      </c>
      <c r="K8" s="42">
        <f>IF('SUS Raw Responses'!K9="","",5-'SUS Raw Responses'!K9)</f>
        <v/>
      </c>
      <c r="L8" s="35">
        <f>IF('SUS Raw Responses'!L9="","",'SUS Raw Responses'!L9-1)</f>
        <v/>
      </c>
      <c r="M8" s="42">
        <f>IF('SUS Raw Responses'!M9="","",5-'SUS Raw Responses'!M9)</f>
        <v/>
      </c>
      <c r="N8" s="43">
        <f>IF(COUNTA(D8,E8,F8,G8,H8,I8,J8,K8,L8,M8)=10,SUM(D8,E8,F8,G8,H8,I8,J8,K8,L8,M8),"")</f>
        <v/>
      </c>
      <c r="O8" s="44">
        <f>IF(N8="","",N8*2.5)</f>
        <v/>
      </c>
    </row>
    <row r="9" ht="20" customHeight="1">
      <c r="A9" s="26" t="n">
        <v>6</v>
      </c>
      <c r="B9" s="36" t="inlineStr">
        <is>
          <t>P6</t>
        </is>
      </c>
      <c r="C9" s="26" t="inlineStr">
        <is>
          <t>Tenant Representative</t>
        </is>
      </c>
      <c r="D9" s="45">
        <f>IF('SUS Raw Responses'!D10="","",'SUS Raw Responses'!D10-1)</f>
        <v/>
      </c>
      <c r="E9" s="46">
        <f>IF('SUS Raw Responses'!E10="","",5-'SUS Raw Responses'!E10)</f>
        <v/>
      </c>
      <c r="F9" s="45">
        <f>IF('SUS Raw Responses'!F10="","",'SUS Raw Responses'!F10-1)</f>
        <v/>
      </c>
      <c r="G9" s="46">
        <f>IF('SUS Raw Responses'!G10="","",5-'SUS Raw Responses'!G10)</f>
        <v/>
      </c>
      <c r="H9" s="45">
        <f>IF('SUS Raw Responses'!H10="","",'SUS Raw Responses'!H10-1)</f>
        <v/>
      </c>
      <c r="I9" s="46">
        <f>IF('SUS Raw Responses'!I10="","",5-'SUS Raw Responses'!I10)</f>
        <v/>
      </c>
      <c r="J9" s="45">
        <f>IF('SUS Raw Responses'!J10="","",'SUS Raw Responses'!J10-1)</f>
        <v/>
      </c>
      <c r="K9" s="46">
        <f>IF('SUS Raw Responses'!K10="","",5-'SUS Raw Responses'!K10)</f>
        <v/>
      </c>
      <c r="L9" s="45">
        <f>IF('SUS Raw Responses'!L10="","",'SUS Raw Responses'!L10-1)</f>
        <v/>
      </c>
      <c r="M9" s="46">
        <f>IF('SUS Raw Responses'!M10="","",5-'SUS Raw Responses'!M10)</f>
        <v/>
      </c>
      <c r="N9" s="43">
        <f>IF(COUNTA(D9,E9,F9,G9,H9,I9,J9,K9,L9,M9)=10,SUM(D9,E9,F9,G9,H9,I9,J9,K9,L9,M9),"")</f>
        <v/>
      </c>
      <c r="O9" s="44">
        <f>IF(N9="","",N9*2.5)</f>
        <v/>
      </c>
    </row>
    <row r="10" ht="20" customHeight="1">
      <c r="A10" s="25" t="n">
        <v>7</v>
      </c>
      <c r="B10" s="34" t="inlineStr">
        <is>
          <t>P7</t>
        </is>
      </c>
      <c r="C10" s="25" t="inlineStr">
        <is>
          <t>Operations Staff</t>
        </is>
      </c>
      <c r="D10" s="35">
        <f>IF('SUS Raw Responses'!D11="","",'SUS Raw Responses'!D11-1)</f>
        <v/>
      </c>
      <c r="E10" s="42">
        <f>IF('SUS Raw Responses'!E11="","",5-'SUS Raw Responses'!E11)</f>
        <v/>
      </c>
      <c r="F10" s="35">
        <f>IF('SUS Raw Responses'!F11="","",'SUS Raw Responses'!F11-1)</f>
        <v/>
      </c>
      <c r="G10" s="42">
        <f>IF('SUS Raw Responses'!G11="","",5-'SUS Raw Responses'!G11)</f>
        <v/>
      </c>
      <c r="H10" s="35">
        <f>IF('SUS Raw Responses'!H11="","",'SUS Raw Responses'!H11-1)</f>
        <v/>
      </c>
      <c r="I10" s="42">
        <f>IF('SUS Raw Responses'!I11="","",5-'SUS Raw Responses'!I11)</f>
        <v/>
      </c>
      <c r="J10" s="35">
        <f>IF('SUS Raw Responses'!J11="","",'SUS Raw Responses'!J11-1)</f>
        <v/>
      </c>
      <c r="K10" s="42">
        <f>IF('SUS Raw Responses'!K11="","",5-'SUS Raw Responses'!K11)</f>
        <v/>
      </c>
      <c r="L10" s="35">
        <f>IF('SUS Raw Responses'!L11="","",'SUS Raw Responses'!L11-1)</f>
        <v/>
      </c>
      <c r="M10" s="42">
        <f>IF('SUS Raw Responses'!M11="","",5-'SUS Raw Responses'!M11)</f>
        <v/>
      </c>
      <c r="N10" s="43">
        <f>IF(COUNTA(D10,E10,F10,G10,H10,I10,J10,K10,L10,M10)=10,SUM(D10,E10,F10,G10,H10,I10,J10,K10,L10,M10),"")</f>
        <v/>
      </c>
      <c r="O10" s="44">
        <f>IF(N10="","",N10*2.5)</f>
        <v/>
      </c>
    </row>
    <row r="11" ht="20" customHeight="1">
      <c r="A11" s="26" t="n">
        <v>8</v>
      </c>
      <c r="B11" s="36" t="inlineStr">
        <is>
          <t>P8</t>
        </is>
      </c>
      <c r="C11" s="26" t="inlineStr">
        <is>
          <t>Operations Staff</t>
        </is>
      </c>
      <c r="D11" s="45">
        <f>IF('SUS Raw Responses'!D12="","",'SUS Raw Responses'!D12-1)</f>
        <v/>
      </c>
      <c r="E11" s="46">
        <f>IF('SUS Raw Responses'!E12="","",5-'SUS Raw Responses'!E12)</f>
        <v/>
      </c>
      <c r="F11" s="45">
        <f>IF('SUS Raw Responses'!F12="","",'SUS Raw Responses'!F12-1)</f>
        <v/>
      </c>
      <c r="G11" s="46">
        <f>IF('SUS Raw Responses'!G12="","",5-'SUS Raw Responses'!G12)</f>
        <v/>
      </c>
      <c r="H11" s="45">
        <f>IF('SUS Raw Responses'!H12="","",'SUS Raw Responses'!H12-1)</f>
        <v/>
      </c>
      <c r="I11" s="46">
        <f>IF('SUS Raw Responses'!I12="","",5-'SUS Raw Responses'!I12)</f>
        <v/>
      </c>
      <c r="J11" s="45">
        <f>IF('SUS Raw Responses'!J12="","",'SUS Raw Responses'!J12-1)</f>
        <v/>
      </c>
      <c r="K11" s="46">
        <f>IF('SUS Raw Responses'!K12="","",5-'SUS Raw Responses'!K12)</f>
        <v/>
      </c>
      <c r="L11" s="45">
        <f>IF('SUS Raw Responses'!L12="","",'SUS Raw Responses'!L12-1)</f>
        <v/>
      </c>
      <c r="M11" s="46">
        <f>IF('SUS Raw Responses'!M12="","",5-'SUS Raw Responses'!M12)</f>
        <v/>
      </c>
      <c r="N11" s="43">
        <f>IF(COUNTA(D11,E11,F11,G11,H11,I11,J11,K11,L11,M11)=10,SUM(D11,E11,F11,G11,H11,I11,J11,K11,L11,M11),"")</f>
        <v/>
      </c>
      <c r="O11" s="44">
        <f>IF(N11="","",N11*2.5)</f>
        <v/>
      </c>
    </row>
    <row r="12" ht="20" customHeight="1">
      <c r="A12" s="25" t="n">
        <v>9</v>
      </c>
      <c r="B12" s="34" t="inlineStr">
        <is>
          <t>P9</t>
        </is>
      </c>
      <c r="C12" s="25" t="inlineStr">
        <is>
          <t>Operations Staff</t>
        </is>
      </c>
      <c r="D12" s="35">
        <f>IF('SUS Raw Responses'!D13="","",'SUS Raw Responses'!D13-1)</f>
        <v/>
      </c>
      <c r="E12" s="42">
        <f>IF('SUS Raw Responses'!E13="","",5-'SUS Raw Responses'!E13)</f>
        <v/>
      </c>
      <c r="F12" s="35">
        <f>IF('SUS Raw Responses'!F13="","",'SUS Raw Responses'!F13-1)</f>
        <v/>
      </c>
      <c r="G12" s="42">
        <f>IF('SUS Raw Responses'!G13="","",5-'SUS Raw Responses'!G13)</f>
        <v/>
      </c>
      <c r="H12" s="35">
        <f>IF('SUS Raw Responses'!H13="","",'SUS Raw Responses'!H13-1)</f>
        <v/>
      </c>
      <c r="I12" s="42">
        <f>IF('SUS Raw Responses'!I13="","",5-'SUS Raw Responses'!I13)</f>
        <v/>
      </c>
      <c r="J12" s="35">
        <f>IF('SUS Raw Responses'!J13="","",'SUS Raw Responses'!J13-1)</f>
        <v/>
      </c>
      <c r="K12" s="42">
        <f>IF('SUS Raw Responses'!K13="","",5-'SUS Raw Responses'!K13)</f>
        <v/>
      </c>
      <c r="L12" s="35">
        <f>IF('SUS Raw Responses'!L13="","",'SUS Raw Responses'!L13-1)</f>
        <v/>
      </c>
      <c r="M12" s="42">
        <f>IF('SUS Raw Responses'!M13="","",5-'SUS Raw Responses'!M13)</f>
        <v/>
      </c>
      <c r="N12" s="43">
        <f>IF(COUNTA(D12,E12,F12,G12,H12,I12,J12,K12,L12,M12)=10,SUM(D12,E12,F12,G12,H12,I12,J12,K12,L12,M12),"")</f>
        <v/>
      </c>
      <c r="O12" s="44">
        <f>IF(N12="","",N12*2.5)</f>
        <v/>
      </c>
    </row>
    <row r="14" ht="24" customHeight="1">
      <c r="A14" s="47" t="inlineStr">
        <is>
          <t>MEAN SUS SCORE</t>
        </is>
      </c>
      <c r="O14" s="48">
        <f>IF(COUNTA(O4:O12)=9,AVERAGE(O4:O12),"")</f>
        <v/>
      </c>
    </row>
  </sheetData>
  <mergeCells count="15">
    <mergeCell ref="J2"/>
    <mergeCell ref="F2"/>
    <mergeCell ref="K2"/>
    <mergeCell ref="H2"/>
    <mergeCell ref="A14:C14"/>
    <mergeCell ref="L2"/>
    <mergeCell ref="E2"/>
    <mergeCell ref="A1:O1"/>
    <mergeCell ref="M2"/>
    <mergeCell ref="B2:B3"/>
    <mergeCell ref="D2"/>
    <mergeCell ref="A2:A3"/>
    <mergeCell ref="C2:C3"/>
    <mergeCell ref="G2"/>
    <mergeCell ref="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16" customWidth="1" min="4" max="4"/>
    <col width="14" customWidth="1" min="5" max="5"/>
    <col width="18" customWidth="1" min="6" max="6"/>
    <col width="20" customWidth="1" min="7" max="7"/>
  </cols>
  <sheetData>
    <row r="1" ht="32" customHeight="1">
      <c r="A1" s="23" t="inlineStr">
        <is>
          <t>SUS Evaluation — Summary of Results | IPDC-OSS Platform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Device</t>
        </is>
      </c>
      <c r="E2" s="24" t="inlineStr">
        <is>
          <t>SUS Score</t>
        </is>
      </c>
      <c r="F2" s="24" t="inlineStr">
        <is>
          <t>Grade</t>
        </is>
      </c>
      <c r="G2" s="24" t="inlineStr">
        <is>
          <t>Interpretation</t>
        </is>
      </c>
    </row>
    <row r="3" ht="20" customHeight="1">
      <c r="A3" s="25" t="n">
        <v>1</v>
      </c>
      <c r="B3" s="34" t="inlineStr">
        <is>
          <t>P1</t>
        </is>
      </c>
      <c r="C3" s="25" t="inlineStr">
        <is>
          <t>IPDC Management Staff</t>
        </is>
      </c>
      <c r="D3" s="25" t="inlineStr">
        <is>
          <t>Laptop (Chrome)</t>
        </is>
      </c>
      <c r="E3" s="49">
        <f>'SUS Score Calculation'!O4</f>
        <v/>
      </c>
      <c r="F3" s="35">
        <f>IF(E3="","",IF(E3&gt;85.5,"A",IF(E3&gt;=72.6,"B",IF(E3&gt;=52,"C",IF(E3&gt;=51.7,"D","F")))))</f>
        <v/>
      </c>
      <c r="G3" s="25">
        <f>IF(E3="","",IF(E3&gt;85.5,"Excellent",IF(E3&gt;=72.6,"Good",IF(E3&gt;=52,"OK",IF(E3&gt;=51.7,"Poor","Awful")))))</f>
        <v/>
      </c>
    </row>
    <row r="4" ht="20" customHeight="1">
      <c r="A4" s="26" t="n">
        <v>2</v>
      </c>
      <c r="B4" s="36" t="inlineStr">
        <is>
          <t>P2</t>
        </is>
      </c>
      <c r="C4" s="26" t="inlineStr">
        <is>
          <t>IPDC Management Staff</t>
        </is>
      </c>
      <c r="D4" s="26" t="inlineStr">
        <is>
          <t>Desktop (Chrome)</t>
        </is>
      </c>
      <c r="E4" s="49">
        <f>'SUS Score Calculation'!O5</f>
        <v/>
      </c>
      <c r="F4" s="45">
        <f>IF(E4="","",IF(E4&gt;85.5,"A",IF(E4&gt;=72.6,"B",IF(E4&gt;=52,"C",IF(E4&gt;=51.7,"D","F")))))</f>
        <v/>
      </c>
      <c r="G4" s="26">
        <f>IF(E4="","",IF(E4&gt;85.5,"Excellent",IF(E4&gt;=72.6,"Good",IF(E4&gt;=52,"OK",IF(E4&gt;=51.7,"Poor","Awful")))))</f>
        <v/>
      </c>
    </row>
    <row r="5" ht="20" customHeight="1">
      <c r="A5" s="25" t="n">
        <v>3</v>
      </c>
      <c r="B5" s="34" t="inlineStr">
        <is>
          <t>P3</t>
        </is>
      </c>
      <c r="C5" s="25" t="inlineStr">
        <is>
          <t>IPDC Management Staff</t>
        </is>
      </c>
      <c r="D5" s="25" t="inlineStr">
        <is>
          <t>Laptop (Opera)</t>
        </is>
      </c>
      <c r="E5" s="49">
        <f>'SUS Score Calculation'!O6</f>
        <v/>
      </c>
      <c r="F5" s="35">
        <f>IF(E5="","",IF(E5&gt;85.5,"A",IF(E5&gt;=72.6,"B",IF(E5&gt;=52,"C",IF(E5&gt;=51.7,"D","F")))))</f>
        <v/>
      </c>
      <c r="G5" s="25">
        <f>IF(E5="","",IF(E5&gt;85.5,"Excellent",IF(E5&gt;=72.6,"Good",IF(E5&gt;=52,"OK",IF(E5&gt;=51.7,"Poor","Awful")))))</f>
        <v/>
      </c>
    </row>
    <row r="6" ht="20" customHeight="1">
      <c r="A6" s="26" t="n">
        <v>4</v>
      </c>
      <c r="B6" s="36" t="inlineStr">
        <is>
          <t>P4</t>
        </is>
      </c>
      <c r="C6" s="26" t="inlineStr">
        <is>
          <t>Tenant Representative</t>
        </is>
      </c>
      <c r="D6" s="26" t="inlineStr">
        <is>
          <t>Smartphone (Chrome)</t>
        </is>
      </c>
      <c r="E6" s="49">
        <f>'SUS Score Calculation'!O7</f>
        <v/>
      </c>
      <c r="F6" s="45">
        <f>IF(E6="","",IF(E6&gt;85.5,"A",IF(E6&gt;=72.6,"B",IF(E6&gt;=52,"C",IF(E6&gt;=51.7,"D","F")))))</f>
        <v/>
      </c>
      <c r="G6" s="26">
        <f>IF(E6="","",IF(E6&gt;85.5,"Excellent",IF(E6&gt;=72.6,"Good",IF(E6&gt;=52,"OK",IF(E6&gt;=51.7,"Poor","Awful")))))</f>
        <v/>
      </c>
    </row>
    <row r="7" ht="20" customHeight="1">
      <c r="A7" s="25" t="n">
        <v>5</v>
      </c>
      <c r="B7" s="34" t="inlineStr">
        <is>
          <t>P5</t>
        </is>
      </c>
      <c r="C7" s="25" t="inlineStr">
        <is>
          <t>Tenant Representative</t>
        </is>
      </c>
      <c r="D7" s="25" t="inlineStr">
        <is>
          <t>Smartphone (Opera)</t>
        </is>
      </c>
      <c r="E7" s="49">
        <f>'SUS Score Calculation'!O8</f>
        <v/>
      </c>
      <c r="F7" s="35">
        <f>IF(E7="","",IF(E7&gt;85.5,"A",IF(E7&gt;=72.6,"B",IF(E7&gt;=52,"C",IF(E7&gt;=51.7,"D","F")))))</f>
        <v/>
      </c>
      <c r="G7" s="25">
        <f>IF(E7="","",IF(E7&gt;85.5,"Excellent",IF(E7&gt;=72.6,"Good",IF(E7&gt;=52,"OK",IF(E7&gt;=51.7,"Poor","Awful")))))</f>
        <v/>
      </c>
    </row>
    <row r="8" ht="20" customHeight="1">
      <c r="A8" s="26" t="n">
        <v>6</v>
      </c>
      <c r="B8" s="36" t="inlineStr">
        <is>
          <t>P6</t>
        </is>
      </c>
      <c r="C8" s="26" t="inlineStr">
        <is>
          <t>Tenant Representative</t>
        </is>
      </c>
      <c r="D8" s="26" t="inlineStr">
        <is>
          <t>Laptop (Chrome)</t>
        </is>
      </c>
      <c r="E8" s="49">
        <f>'SUS Score Calculation'!O9</f>
        <v/>
      </c>
      <c r="F8" s="45">
        <f>IF(E8="","",IF(E8&gt;85.5,"A",IF(E8&gt;=72.6,"B",IF(E8&gt;=52,"C",IF(E8&gt;=51.7,"D","F")))))</f>
        <v/>
      </c>
      <c r="G8" s="26">
        <f>IF(E8="","",IF(E8&gt;85.5,"Excellent",IF(E8&gt;=72.6,"Good",IF(E8&gt;=52,"OK",IF(E8&gt;=51.7,"Poor","Awful")))))</f>
        <v/>
      </c>
    </row>
    <row r="9" ht="20" customHeight="1">
      <c r="A9" s="25" t="n">
        <v>7</v>
      </c>
      <c r="B9" s="34" t="inlineStr">
        <is>
          <t>P7</t>
        </is>
      </c>
      <c r="C9" s="25" t="inlineStr">
        <is>
          <t>Operations Staff</t>
        </is>
      </c>
      <c r="D9" s="25" t="inlineStr">
        <is>
          <t>Smartphone (Chrome)</t>
        </is>
      </c>
      <c r="E9" s="49">
        <f>'SUS Score Calculation'!O10</f>
        <v/>
      </c>
      <c r="F9" s="35">
        <f>IF(E9="","",IF(E9&gt;85.5,"A",IF(E9&gt;=72.6,"B",IF(E9&gt;=52,"C",IF(E9&gt;=51.7,"D","F")))))</f>
        <v/>
      </c>
      <c r="G9" s="25">
        <f>IF(E9="","",IF(E9&gt;85.5,"Excellent",IF(E9&gt;=72.6,"Good",IF(E9&gt;=52,"OK",IF(E9&gt;=51.7,"Poor","Awful")))))</f>
        <v/>
      </c>
    </row>
    <row r="10" ht="20" customHeight="1">
      <c r="A10" s="26" t="n">
        <v>8</v>
      </c>
      <c r="B10" s="36" t="inlineStr">
        <is>
          <t>P8</t>
        </is>
      </c>
      <c r="C10" s="26" t="inlineStr">
        <is>
          <t>Operations Staff</t>
        </is>
      </c>
      <c r="D10" s="26" t="inlineStr">
        <is>
          <t>Smartphone (Opera)</t>
        </is>
      </c>
      <c r="E10" s="49">
        <f>'SUS Score Calculation'!O11</f>
        <v/>
      </c>
      <c r="F10" s="45">
        <f>IF(E10="","",IF(E10&gt;85.5,"A",IF(E10&gt;=72.6,"B",IF(E10&gt;=52,"C",IF(E10&gt;=51.7,"D","F")))))</f>
        <v/>
      </c>
      <c r="G10" s="26">
        <f>IF(E10="","",IF(E10&gt;85.5,"Excellent",IF(E10&gt;=72.6,"Good",IF(E10&gt;=52,"OK",IF(E10&gt;=51.7,"Poor","Awful")))))</f>
        <v/>
      </c>
    </row>
    <row r="11" ht="20" customHeight="1">
      <c r="A11" s="25" t="n">
        <v>9</v>
      </c>
      <c r="B11" s="34" t="inlineStr">
        <is>
          <t>P9</t>
        </is>
      </c>
      <c r="C11" s="25" t="inlineStr">
        <is>
          <t>Operations Staff</t>
        </is>
      </c>
      <c r="D11" s="25" t="inlineStr">
        <is>
          <t>Smartphone (Chrome)</t>
        </is>
      </c>
      <c r="E11" s="49">
        <f>'SUS Score Calculation'!O12</f>
        <v/>
      </c>
      <c r="F11" s="35">
        <f>IF(E11="","",IF(E11&gt;85.5,"A",IF(E11&gt;=72.6,"B",IF(E11&gt;=52,"C",IF(E11&gt;=51.7,"D","F")))))</f>
        <v/>
      </c>
      <c r="G11" s="25">
        <f>IF(E11="","",IF(E11&gt;85.5,"Excellent",IF(E11&gt;=72.6,"Good",IF(E11&gt;=52,"OK",IF(E11&gt;=51.7,"Poor","Awful")))))</f>
        <v/>
      </c>
    </row>
    <row r="13" ht="26" customHeight="1">
      <c r="A13" s="47" t="inlineStr">
        <is>
          <t>MEAN SUS SCORE</t>
        </is>
      </c>
      <c r="E13" s="48">
        <f>AVERAGE(E3:E11)</f>
        <v/>
      </c>
      <c r="F13" s="50">
        <f>IF(E13="","",IF(E13&gt;85.5,"A",IF(E13&gt;=72.6,"B",IF(E13&gt;=52,"C",IF(E13&gt;=51.7,"D","F")))))</f>
        <v/>
      </c>
      <c r="G13" s="47">
        <f>IF(E13="","",IF(E13&gt;85.5,"Excellent",IF(E13&gt;=72.6,"Good",IF(E13&gt;=52,"OK",IF(E13&gt;=51.7,"Poor","Awful")))))</f>
        <v/>
      </c>
    </row>
    <row r="16" ht="16" customHeight="1">
      <c r="A16" s="51" t="inlineStr">
        <is>
          <t>Reference lines: 72.5 = Good threshold | 85.5 = Excellent threshold</t>
        </is>
      </c>
    </row>
  </sheetData>
  <mergeCells count="3">
    <mergeCell ref="A13:D13"/>
    <mergeCell ref="A16:G16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8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</cols>
  <sheetData>
    <row r="1" ht="30" customHeight="1">
      <c r="A1" s="28" t="inlineStr">
        <is>
          <t>Offline Experience — Supplementary Data (Q8b, Q19, Q20 from Google Form)</t>
        </is>
      </c>
    </row>
    <row r="2" ht="20" customHeight="1">
      <c r="A2" s="52" t="inlineStr">
        <is>
          <t>These questions are supplementary to the SUS — they do NOT affect the SUS score calculation.</t>
        </is>
      </c>
    </row>
    <row r="3" ht="18" customHeight="1">
      <c r="A3" s="53" t="inlineStr">
        <is>
          <t>Q8b — Offline Tasks Attempted (tick = attempted)  |  Google Form: Section 6 of 9</t>
        </is>
      </c>
    </row>
    <row r="4" ht="50" customHeight="1">
      <c r="A4" s="37" t="inlineStr">
        <is>
          <t>#</t>
        </is>
      </c>
      <c r="B4" s="37" t="inlineStr">
        <is>
          <t>ID</t>
        </is>
      </c>
      <c r="C4" s="37" t="inlineStr">
        <is>
          <t>Role</t>
        </is>
      </c>
      <c r="D4" s="37" t="inlineStr">
        <is>
          <t>Browsed dashboard offline (All)</t>
        </is>
      </c>
      <c r="E4" s="37" t="inlineStr">
        <is>
          <t>Submitted request offline (Tenant)</t>
        </is>
      </c>
      <c r="F4" s="37" t="inlineStr">
        <is>
          <t>Completed task offline (Operations)</t>
        </is>
      </c>
      <c r="G4" s="37" t="inlineStr">
        <is>
          <t>Reviewed request offline (Management)</t>
        </is>
      </c>
      <c r="H4" s="37" t="inlineStr">
        <is>
          <t>Offline re-login (All)</t>
        </is>
      </c>
      <c r="I4" s="37" t="inlineStr">
        <is>
          <t>Sync banner on reconnect (All)</t>
        </is>
      </c>
    </row>
    <row r="5" ht="18" customHeight="1">
      <c r="A5" s="25" t="n">
        <v>1</v>
      </c>
      <c r="B5" s="25" t="inlineStr">
        <is>
          <t>P1</t>
        </is>
      </c>
      <c r="C5" s="25" t="inlineStr">
        <is>
          <t>IPDC Management Staff</t>
        </is>
      </c>
      <c r="D5" s="54" t="n"/>
      <c r="E5" s="54" t="n"/>
      <c r="F5" s="54" t="n"/>
      <c r="G5" s="54" t="n"/>
      <c r="H5" s="54" t="n"/>
      <c r="I5" s="54" t="n"/>
    </row>
    <row r="6" ht="18" customHeight="1">
      <c r="A6" s="26" t="n">
        <v>2</v>
      </c>
      <c r="B6" s="26" t="inlineStr">
        <is>
          <t>P2</t>
        </is>
      </c>
      <c r="C6" s="26" t="inlineStr">
        <is>
          <t>IPDC Management Staff</t>
        </is>
      </c>
      <c r="D6" s="54" t="n"/>
      <c r="E6" s="54" t="n"/>
      <c r="F6" s="54" t="n"/>
      <c r="G6" s="54" t="n"/>
      <c r="H6" s="54" t="n"/>
      <c r="I6" s="54" t="n"/>
    </row>
    <row r="7" ht="18" customHeight="1">
      <c r="A7" s="25" t="n">
        <v>3</v>
      </c>
      <c r="B7" s="25" t="inlineStr">
        <is>
          <t>P3</t>
        </is>
      </c>
      <c r="C7" s="25" t="inlineStr">
        <is>
          <t>IPDC Management Staff</t>
        </is>
      </c>
      <c r="D7" s="54" t="n"/>
      <c r="E7" s="54" t="n"/>
      <c r="F7" s="54" t="n"/>
      <c r="G7" s="54" t="n"/>
      <c r="H7" s="54" t="n"/>
      <c r="I7" s="54" t="n"/>
    </row>
    <row r="8" ht="18" customHeight="1">
      <c r="A8" s="26" t="n">
        <v>4</v>
      </c>
      <c r="B8" s="26" t="inlineStr">
        <is>
          <t>P4</t>
        </is>
      </c>
      <c r="C8" s="26" t="inlineStr">
        <is>
          <t>Tenant Representative</t>
        </is>
      </c>
      <c r="D8" s="54" t="n"/>
      <c r="E8" s="54" t="n"/>
      <c r="F8" s="54" t="n"/>
      <c r="G8" s="54" t="n"/>
      <c r="H8" s="54" t="n"/>
      <c r="I8" s="54" t="n"/>
    </row>
    <row r="9" ht="18" customHeight="1">
      <c r="A9" s="25" t="n">
        <v>5</v>
      </c>
      <c r="B9" s="25" t="inlineStr">
        <is>
          <t>P5</t>
        </is>
      </c>
      <c r="C9" s="25" t="inlineStr">
        <is>
          <t>Tenant Representative</t>
        </is>
      </c>
      <c r="D9" s="54" t="n"/>
      <c r="E9" s="54" t="n"/>
      <c r="F9" s="54" t="n"/>
      <c r="G9" s="54" t="n"/>
      <c r="H9" s="54" t="n"/>
      <c r="I9" s="54" t="n"/>
    </row>
    <row r="10" ht="18" customHeight="1">
      <c r="A10" s="26" t="n">
        <v>6</v>
      </c>
      <c r="B10" s="26" t="inlineStr">
        <is>
          <t>P6</t>
        </is>
      </c>
      <c r="C10" s="26" t="inlineStr">
        <is>
          <t>Tenant Representative</t>
        </is>
      </c>
      <c r="D10" s="54" t="n"/>
      <c r="E10" s="54" t="n"/>
      <c r="F10" s="54" t="n"/>
      <c r="G10" s="54" t="n"/>
      <c r="H10" s="54" t="n"/>
      <c r="I10" s="54" t="n"/>
    </row>
    <row r="11" ht="18" customHeight="1">
      <c r="A11" s="25" t="n">
        <v>7</v>
      </c>
      <c r="B11" s="25" t="inlineStr">
        <is>
          <t>P7</t>
        </is>
      </c>
      <c r="C11" s="25" t="inlineStr">
        <is>
          <t>Operations Staff</t>
        </is>
      </c>
      <c r="D11" s="54" t="n"/>
      <c r="E11" s="54" t="n"/>
      <c r="F11" s="54" t="n"/>
      <c r="G11" s="54" t="n"/>
      <c r="H11" s="54" t="n"/>
      <c r="I11" s="54" t="n"/>
    </row>
    <row r="12" ht="18" customHeight="1">
      <c r="A12" s="26" t="n">
        <v>8</v>
      </c>
      <c r="B12" s="26" t="inlineStr">
        <is>
          <t>P8</t>
        </is>
      </c>
      <c r="C12" s="26" t="inlineStr">
        <is>
          <t>Operations Staff</t>
        </is>
      </c>
      <c r="D12" s="54" t="n"/>
      <c r="E12" s="54" t="n"/>
      <c r="F12" s="54" t="n"/>
      <c r="G12" s="54" t="n"/>
      <c r="H12" s="54" t="n"/>
      <c r="I12" s="54" t="n"/>
    </row>
    <row r="13" ht="18" customHeight="1">
      <c r="A13" s="25" t="n">
        <v>9</v>
      </c>
      <c r="B13" s="25" t="inlineStr">
        <is>
          <t>P9</t>
        </is>
      </c>
      <c r="C13" s="25" t="inlineStr">
        <is>
          <t>Operations Staff</t>
        </is>
      </c>
      <c r="D13" s="54" t="n"/>
      <c r="E13" s="54" t="n"/>
      <c r="F13" s="54" t="n"/>
      <c r="G13" s="54" t="n"/>
      <c r="H13" s="54" t="n"/>
      <c r="I13" s="54" t="n"/>
    </row>
    <row r="15">
      <c r="A15" s="27" t="inlineStr">
        <is>
          <t>Enter  ✓  if the participant attempted the task, or leave blank if not attempted.</t>
        </is>
      </c>
    </row>
    <row r="17" ht="18" customHeight="1">
      <c r="A17" s="53" t="inlineStr">
        <is>
          <t>Q19 — Offline Confidence Score  |  Q20 — Online/Offline Clarity  |  Google Form: Section 8 of 9</t>
        </is>
      </c>
    </row>
    <row r="18" ht="44" customHeight="1">
      <c r="A18" s="37" t="inlineStr">
        <is>
          <t>#</t>
        </is>
      </c>
      <c r="B18" s="37" t="inlineStr">
        <is>
          <t>ID</t>
        </is>
      </c>
      <c r="C18" s="37" t="inlineStr">
        <is>
          <t>Role</t>
        </is>
      </c>
      <c r="D18" s="37" t="inlineStr">
        <is>
          <t>Q19: Offline data confidence (1–5)
1=Not confident  5=Fully confident</t>
        </is>
      </c>
      <c r="E18" s="37" t="inlineStr">
        <is>
          <t>Q20: Online/offline clarity
Yes always / Sometimes / No</t>
        </is>
      </c>
    </row>
    <row r="19" ht="18" customHeight="1">
      <c r="A19" s="25" t="n">
        <v>1</v>
      </c>
      <c r="B19" s="25" t="inlineStr">
        <is>
          <t>P1</t>
        </is>
      </c>
      <c r="C19" s="25" t="inlineStr">
        <is>
          <t>IPDC Management Staff</t>
        </is>
      </c>
      <c r="D19" s="35" t="n"/>
      <c r="E19" s="35" t="n"/>
    </row>
    <row r="20" ht="18" customHeight="1">
      <c r="A20" s="26" t="n">
        <v>2</v>
      </c>
      <c r="B20" s="26" t="inlineStr">
        <is>
          <t>P2</t>
        </is>
      </c>
      <c r="C20" s="26" t="inlineStr">
        <is>
          <t>IPDC Management Staff</t>
        </is>
      </c>
      <c r="D20" s="35" t="n"/>
      <c r="E20" s="35" t="n"/>
    </row>
    <row r="21" ht="18" customHeight="1">
      <c r="A21" s="25" t="n">
        <v>3</v>
      </c>
      <c r="B21" s="25" t="inlineStr">
        <is>
          <t>P3</t>
        </is>
      </c>
      <c r="C21" s="25" t="inlineStr">
        <is>
          <t>IPDC Management Staff</t>
        </is>
      </c>
      <c r="D21" s="35" t="n"/>
      <c r="E21" s="35" t="n"/>
    </row>
    <row r="22" ht="18" customHeight="1">
      <c r="A22" s="26" t="n">
        <v>4</v>
      </c>
      <c r="B22" s="26" t="inlineStr">
        <is>
          <t>P4</t>
        </is>
      </c>
      <c r="C22" s="26" t="inlineStr">
        <is>
          <t>Tenant Representative</t>
        </is>
      </c>
      <c r="D22" s="35" t="n"/>
      <c r="E22" s="35" t="n"/>
    </row>
    <row r="23" ht="18" customHeight="1">
      <c r="A23" s="25" t="n">
        <v>5</v>
      </c>
      <c r="B23" s="25" t="inlineStr">
        <is>
          <t>P5</t>
        </is>
      </c>
      <c r="C23" s="25" t="inlineStr">
        <is>
          <t>Tenant Representative</t>
        </is>
      </c>
      <c r="D23" s="35" t="n"/>
      <c r="E23" s="35" t="n"/>
    </row>
    <row r="24" ht="18" customHeight="1">
      <c r="A24" s="26" t="n">
        <v>6</v>
      </c>
      <c r="B24" s="26" t="inlineStr">
        <is>
          <t>P6</t>
        </is>
      </c>
      <c r="C24" s="26" t="inlineStr">
        <is>
          <t>Tenant Representative</t>
        </is>
      </c>
      <c r="D24" s="35" t="n"/>
      <c r="E24" s="35" t="n"/>
    </row>
    <row r="25" ht="18" customHeight="1">
      <c r="A25" s="25" t="n">
        <v>7</v>
      </c>
      <c r="B25" s="25" t="inlineStr">
        <is>
          <t>P7</t>
        </is>
      </c>
      <c r="C25" s="25" t="inlineStr">
        <is>
          <t>Operations Staff</t>
        </is>
      </c>
      <c r="D25" s="35" t="n"/>
      <c r="E25" s="35" t="n"/>
    </row>
    <row r="26" ht="18" customHeight="1">
      <c r="A26" s="26" t="n">
        <v>8</v>
      </c>
      <c r="B26" s="26" t="inlineStr">
        <is>
          <t>P8</t>
        </is>
      </c>
      <c r="C26" s="26" t="inlineStr">
        <is>
          <t>Operations Staff</t>
        </is>
      </c>
      <c r="D26" s="35" t="n"/>
      <c r="E26" s="35" t="n"/>
    </row>
    <row r="27" ht="18" customHeight="1">
      <c r="A27" s="25" t="n">
        <v>9</v>
      </c>
      <c r="B27" s="25" t="inlineStr">
        <is>
          <t>P9</t>
        </is>
      </c>
      <c r="C27" s="25" t="inlineStr">
        <is>
          <t>Operations Staff</t>
        </is>
      </c>
      <c r="D27" s="35" t="n"/>
      <c r="E27" s="35" t="n"/>
    </row>
    <row r="28" ht="22" customHeight="1">
      <c r="A28" s="55" t="inlineStr">
        <is>
          <t>MEAN (Q19)</t>
        </is>
      </c>
      <c r="D28" s="56">
        <f>IFERROR(AVERAGEIF(D19:D27,"&lt;&gt;"),"")</f>
        <v/>
      </c>
    </row>
  </sheetData>
  <mergeCells count="6">
    <mergeCell ref="A15:I15"/>
    <mergeCell ref="A28:C28"/>
    <mergeCell ref="A2:I2"/>
    <mergeCell ref="A17:I17"/>
    <mergeCell ref="A3:I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2026-03-09T16:21:11Z</dcterms:created>
  <dcterms:modified xsi:type="dcterms:W3CDTF">2026-03-09T16:21:11Z</dcterms:modified>
</cp:coreProperties>
</file>